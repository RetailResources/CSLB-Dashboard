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evinstarke/Desktop/"/>
    </mc:Choice>
  </mc:AlternateContent>
  <xr:revisionPtr revIDLastSave="0" documentId="8_{28FE4CE6-2988-9240-8F9D-2C980B12DE8B}" xr6:coauthVersionLast="47" xr6:coauthVersionMax="47" xr10:uidLastSave="{00000000-0000-0000-0000-000000000000}"/>
  <bookViews>
    <workbookView xWindow="0" yWindow="660" windowWidth="34560" windowHeight="21680" activeTab="4" xr2:uid="{45D12FAA-C494-9142-89A7-9A6A2808EC1C}"/>
  </bookViews>
  <sheets>
    <sheet name="Region" sheetId="2" r:id="rId1"/>
    <sheet name="District" sheetId="3" r:id="rId2"/>
    <sheet name="Store" sheetId="4" r:id="rId3"/>
    <sheet name="Location List" sheetId="1" r:id="rId4"/>
    <sheet name="Metric Ranking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<sst xmlns="http://schemas.openxmlformats.org/spreadsheetml/2006/main" count="1640" uniqueCount="631">
  <si>
    <t>AR Store Name</t>
  </si>
  <si>
    <t>STORE CODE</t>
  </si>
  <si>
    <t>STORE NAME</t>
  </si>
  <si>
    <t>ADDRESS</t>
  </si>
  <si>
    <t>CITY</t>
  </si>
  <si>
    <t>STATE</t>
  </si>
  <si>
    <t>DISTRICT</t>
  </si>
  <si>
    <t>REGION</t>
  </si>
  <si>
    <t>AREA</t>
  </si>
  <si>
    <t>DM</t>
  </si>
  <si>
    <t>RVP</t>
  </si>
  <si>
    <t>ADM</t>
  </si>
  <si>
    <t>1DST : N Texas Ave &amp; San Jacinto Ln</t>
  </si>
  <si>
    <t>1DST</t>
  </si>
  <si>
    <t>Texas Ave</t>
  </si>
  <si>
    <t>1601 N Texas Ave, Suite 180</t>
  </si>
  <si>
    <t>Bryan</t>
  </si>
  <si>
    <t>TX</t>
  </si>
  <si>
    <t>CENTRAL TEXAS</t>
  </si>
  <si>
    <t>CENTRAL</t>
  </si>
  <si>
    <t>TMOBILE AREA</t>
  </si>
  <si>
    <t>STEVEN MENASHE</t>
  </si>
  <si>
    <t>ERICA GILLIAM</t>
  </si>
  <si>
    <t>KEVIN STARKE</t>
  </si>
  <si>
    <t>1DSU : Rudder's Landing</t>
  </si>
  <si>
    <t>1DSU</t>
  </si>
  <si>
    <t>1622 W Villa Maria Rd, Suite 100</t>
  </si>
  <si>
    <t>1FSC : Old San Antonio Rd &amp; Main St</t>
  </si>
  <si>
    <t>1FSC</t>
  </si>
  <si>
    <t>Buda</t>
  </si>
  <si>
    <t>640 Old San Antonio Rd, Suite 100</t>
  </si>
  <si>
    <t>1FSS : Belterra Village</t>
  </si>
  <si>
    <t>1FSS</t>
  </si>
  <si>
    <t>Belterra</t>
  </si>
  <si>
    <t>165 Hargraves Dr, Suite P200</t>
  </si>
  <si>
    <t>Austin</t>
  </si>
  <si>
    <t>1FSU : Bee Caves &amp; Walsh Tarlton</t>
  </si>
  <si>
    <t>1FSU</t>
  </si>
  <si>
    <t>West Woods</t>
  </si>
  <si>
    <t>3201 Bee Caves Road, Suite 160</t>
  </si>
  <si>
    <t>545D : State Hwy 6 &amp; Arrington Rd</t>
  </si>
  <si>
    <t>545D</t>
  </si>
  <si>
    <t>College Station</t>
  </si>
  <si>
    <t>4400 Highway 6 S, Suite 400</t>
  </si>
  <si>
    <t>961F : State Hwy 71 &amp; W Hwy 159</t>
  </si>
  <si>
    <t>961F</t>
  </si>
  <si>
    <t>Highway 71</t>
  </si>
  <si>
    <t>2001 W State Highway 71, Suite D</t>
  </si>
  <si>
    <t>La Grange</t>
  </si>
  <si>
    <t>1DSD : Constitution &amp; US 190</t>
  </si>
  <si>
    <t>1DSD</t>
  </si>
  <si>
    <t>Copperas Cove</t>
  </si>
  <si>
    <t>210 Constitution Dr, Building B</t>
  </si>
  <si>
    <t>1DSF : Stan Schlueter &amp; Jake Spoon</t>
  </si>
  <si>
    <t>1DSF</t>
  </si>
  <si>
    <t>Killeen</t>
  </si>
  <si>
    <t>3650 W Stan Schlueter Loop, Suite 100</t>
  </si>
  <si>
    <t>1DSG : N Main St &amp; Carlos G Parker Blvd NW</t>
  </si>
  <si>
    <t>1DSG</t>
  </si>
  <si>
    <t>Taylor</t>
  </si>
  <si>
    <t>3605 N Main St, Suite 36-102</t>
  </si>
  <si>
    <t>1FSH : Ring Dr &amp; Saint Mary Dr</t>
  </si>
  <si>
    <t>1FSH</t>
  </si>
  <si>
    <t>Manor</t>
  </si>
  <si>
    <t>11828 Ring Dr, Suite 109</t>
  </si>
  <si>
    <t>1FSI : US Hwy 281 &amp; Trade St</t>
  </si>
  <si>
    <t>1FSI</t>
  </si>
  <si>
    <t>Marble Falls</t>
  </si>
  <si>
    <t>2511 US Highway 281, Suite 600</t>
  </si>
  <si>
    <t>1FSM : University Commons</t>
  </si>
  <si>
    <t>1FSM</t>
  </si>
  <si>
    <t>Round Rock</t>
  </si>
  <si>
    <t>210 University Blvd, Suite 150</t>
  </si>
  <si>
    <t>1357 : Plano Rd &amp; Buckingham</t>
  </si>
  <si>
    <t>1357</t>
  </si>
  <si>
    <t>Richardson TX</t>
  </si>
  <si>
    <t>1332 S Plano Road, Suite 114</t>
  </si>
  <si>
    <t>Plano</t>
  </si>
  <si>
    <t>DFW EAST</t>
  </si>
  <si>
    <t>NICK O'DELL</t>
  </si>
  <si>
    <t>2819 : W Walnut &amp; N Jupiter</t>
  </si>
  <si>
    <t>2819</t>
  </si>
  <si>
    <t>Walnut</t>
  </si>
  <si>
    <t>3500 W Walnut Street</t>
  </si>
  <si>
    <t>Garland</t>
  </si>
  <si>
    <t>5784 : Wesley Street &amp; I-30</t>
  </si>
  <si>
    <t>5784</t>
  </si>
  <si>
    <t>Wesley</t>
  </si>
  <si>
    <t>3110 Interstate Highway 30, Suite 102</t>
  </si>
  <si>
    <t>Greenville</t>
  </si>
  <si>
    <t>875E : Custer Rd &amp; Eldorado</t>
  </si>
  <si>
    <t>875E</t>
  </si>
  <si>
    <t>Custer</t>
  </si>
  <si>
    <t>3009 South Custer Road, Suite 300</t>
  </si>
  <si>
    <t>Mckinney</t>
  </si>
  <si>
    <t>618E : Pines Rd &amp; Financial Plaza</t>
  </si>
  <si>
    <t>618E</t>
  </si>
  <si>
    <t>Pines Road</t>
  </si>
  <si>
    <t>6723 Pines Rd, Suite 109</t>
  </si>
  <si>
    <t>Shreveport</t>
  </si>
  <si>
    <t>LA</t>
  </si>
  <si>
    <t>118 : Eastchase &amp; Brentwood Stair</t>
  </si>
  <si>
    <t>0118</t>
  </si>
  <si>
    <t>Eastchase</t>
  </si>
  <si>
    <t>1801 Eastchase Parkway, Suite 115</t>
  </si>
  <si>
    <t>Fort Worth</t>
  </si>
  <si>
    <t>2536 : Arkansas Ln &amp; Cooper St</t>
  </si>
  <si>
    <t>2536</t>
  </si>
  <si>
    <t>Cooper Street</t>
  </si>
  <si>
    <t>1030 W Arkansas Lane, Suite 200</t>
  </si>
  <si>
    <t>Arlington</t>
  </si>
  <si>
    <t>115 : Rufe Snow &amp; Dick Lewis</t>
  </si>
  <si>
    <t>0115</t>
  </si>
  <si>
    <t>Rufe Snow</t>
  </si>
  <si>
    <t>5198 Rufe Snow Drive, Suite 129</t>
  </si>
  <si>
    <t>North Richland Hills</t>
  </si>
  <si>
    <t>5564 : Golden Triangle Blvd &amp; US 377</t>
  </si>
  <si>
    <t>5564</t>
  </si>
  <si>
    <t>Golden Triangle</t>
  </si>
  <si>
    <t>5801 Golden Triangle, Suite 123</t>
  </si>
  <si>
    <t>6ESH : Ten Gallon Dr &amp; Mcpherson Blvd</t>
  </si>
  <si>
    <t>6ESH</t>
  </si>
  <si>
    <t>Chisholm Trail</t>
  </si>
  <si>
    <t>9664 Ten Gallon Dr</t>
  </si>
  <si>
    <t>Ft Worth</t>
  </si>
  <si>
    <t>465D : W Stonebrook Pkwy &amp; Fm 423</t>
  </si>
  <si>
    <t>465D</t>
  </si>
  <si>
    <t>Stonebrook</t>
  </si>
  <si>
    <t>252 W Stonebrook Parkway, Suite 570</t>
  </si>
  <si>
    <t>Frisco</t>
  </si>
  <si>
    <t>DFW NORTH</t>
  </si>
  <si>
    <t>BEAU CUMBIE</t>
  </si>
  <si>
    <t>904E : S Jefferson Ave &amp; E Ferguson</t>
  </si>
  <si>
    <t>904E</t>
  </si>
  <si>
    <t>Jefferson</t>
  </si>
  <si>
    <t>618 S Jefferson Ave</t>
  </si>
  <si>
    <t>Mt Pleasant</t>
  </si>
  <si>
    <t>1239 : Cedar Ridge &amp; Wheatland Rd</t>
  </si>
  <si>
    <t>1239</t>
  </si>
  <si>
    <t>Duncanville</t>
  </si>
  <si>
    <t>327 S Cedar Ridge Drive</t>
  </si>
  <si>
    <t>1BSA : E Ennis Ave &amp; Laurel St</t>
  </si>
  <si>
    <t>1BSA</t>
  </si>
  <si>
    <t>Ennis</t>
  </si>
  <si>
    <t>600 E Ennis Ave, Suite B</t>
  </si>
  <si>
    <t>1BSE : E Ovilla Rd &amp; Harris Ave</t>
  </si>
  <si>
    <t>1BSE</t>
  </si>
  <si>
    <t>Red Oak</t>
  </si>
  <si>
    <t>102 E Ovilla Rd, Suite B4</t>
  </si>
  <si>
    <t>1CSD : Airport Fwy &amp; Central Dr</t>
  </si>
  <si>
    <t>1CSD</t>
  </si>
  <si>
    <t>Bedford</t>
  </si>
  <si>
    <t>2100 Airport Freeway, Suite 200</t>
  </si>
  <si>
    <t>5429 : 7th Ave &amp; S 34th Street</t>
  </si>
  <si>
    <t>5429</t>
  </si>
  <si>
    <t>Seventh Ave</t>
  </si>
  <si>
    <t>2521 W 7th Ave, Suite B</t>
  </si>
  <si>
    <t>Corsicana</t>
  </si>
  <si>
    <t>5761 : Corsicana Hwy &amp; I-35</t>
  </si>
  <si>
    <t>5761</t>
  </si>
  <si>
    <t>Corsicana Hwy</t>
  </si>
  <si>
    <t>1320 Corsicana Hwy, Suite 185</t>
  </si>
  <si>
    <t>Hillsboro</t>
  </si>
  <si>
    <t>256E : N Wolfe Nursery Rd &amp; Washington St</t>
  </si>
  <si>
    <t>256E</t>
  </si>
  <si>
    <t>Stephenville</t>
  </si>
  <si>
    <t>100 Wolfe Nursery Rd, Suite 114</t>
  </si>
  <si>
    <t>1CSM : S Main St &amp; Adams Dr</t>
  </si>
  <si>
    <t>1CSM</t>
  </si>
  <si>
    <t>Weatherford</t>
  </si>
  <si>
    <t>1950 S Main St</t>
  </si>
  <si>
    <t>211E : Henderson St &amp; Ridgeway Dr</t>
  </si>
  <si>
    <t>211E</t>
  </si>
  <si>
    <t>Cleburne</t>
  </si>
  <si>
    <t>1502 W Henderson St, Suite B</t>
  </si>
  <si>
    <t>2993 : Clifford &amp; Western Trade</t>
  </si>
  <si>
    <t>2993</t>
  </si>
  <si>
    <t>Clifford</t>
  </si>
  <si>
    <t>9400 Clifford Street, Suite 100</t>
  </si>
  <si>
    <t>924C : Sh 377 &amp; Acton Hwy</t>
  </si>
  <si>
    <t>924C</t>
  </si>
  <si>
    <t>Granbury</t>
  </si>
  <si>
    <t>3803 E Highway 377, Suite 100</t>
  </si>
  <si>
    <t>407D : E Prospect Ave &amp; N 5th Street</t>
  </si>
  <si>
    <t>407D</t>
  </si>
  <si>
    <t>Ponca City</t>
  </si>
  <si>
    <t>901 E Prospect, Suite C-12</t>
  </si>
  <si>
    <t>OK</t>
  </si>
  <si>
    <t>KS/OK</t>
  </si>
  <si>
    <t>JOE MCKEE</t>
  </si>
  <si>
    <t>5742 : Riverside Pkwy &amp; Creek Tpke</t>
  </si>
  <si>
    <t>5742</t>
  </si>
  <si>
    <t>Riverside Pkwy</t>
  </si>
  <si>
    <t>9910 Riverside Pkwy</t>
  </si>
  <si>
    <t>Tulsa</t>
  </si>
  <si>
    <t>687E : S Peoria Ave &amp; E 44th Pl</t>
  </si>
  <si>
    <t>687E</t>
  </si>
  <si>
    <t>Peoria Ave</t>
  </si>
  <si>
    <t>4329 S Peoria Ave, Suite 330</t>
  </si>
  <si>
    <t>849C : Geo Washington Bvld &amp; E Harry St</t>
  </si>
  <si>
    <t>849C</t>
  </si>
  <si>
    <t>George Washington</t>
  </si>
  <si>
    <t>1600 George Washington Boulevard</t>
  </si>
  <si>
    <t>Wichita</t>
  </si>
  <si>
    <t>KS</t>
  </si>
  <si>
    <t>857C : S 9th Street &amp; E Schilling Rd</t>
  </si>
  <si>
    <t>857C</t>
  </si>
  <si>
    <t>Schilling</t>
  </si>
  <si>
    <t>3015 S 9th Street</t>
  </si>
  <si>
    <t>Salina</t>
  </si>
  <si>
    <t>966D : W Taft Ave &amp; Main St</t>
  </si>
  <si>
    <t>966D</t>
  </si>
  <si>
    <t>Sapulpa</t>
  </si>
  <si>
    <t>126 W Taft Avenue, Suite 126</t>
  </si>
  <si>
    <t>114E : The Shoppes at Chisholm Trail</t>
  </si>
  <si>
    <t>114E</t>
  </si>
  <si>
    <t>Chickasha</t>
  </si>
  <si>
    <t>2123 S 4th Street</t>
  </si>
  <si>
    <t>4320 : SE Washington Blvd &amp; Stonewall Dr</t>
  </si>
  <si>
    <t>4320</t>
  </si>
  <si>
    <t>Bartlesville</t>
  </si>
  <si>
    <t>1912 SE Washington Blvd</t>
  </si>
  <si>
    <t>4781 : Shawnee Marketplace</t>
  </si>
  <si>
    <t>4781</t>
  </si>
  <si>
    <t>Market Place</t>
  </si>
  <si>
    <t>4850 Market Place Boulevard, Suite 300</t>
  </si>
  <si>
    <t>Shawnee</t>
  </si>
  <si>
    <t>4789 : Westgate Plaza</t>
  </si>
  <si>
    <t>4789</t>
  </si>
  <si>
    <t>Owen Garriott</t>
  </si>
  <si>
    <t>2312 A W Owen K Garriott Rd</t>
  </si>
  <si>
    <t>Enid</t>
  </si>
  <si>
    <t>4DSC : Hwy 152 and Sara Rd</t>
  </si>
  <si>
    <t>4DSC</t>
  </si>
  <si>
    <t>Mustang</t>
  </si>
  <si>
    <t>1001 E State Highway 152, Suite 103</t>
  </si>
  <si>
    <t>5280 : I-40 and Garth Brooks</t>
  </si>
  <si>
    <t>5280</t>
  </si>
  <si>
    <t>Garth Brooks Blvd</t>
  </si>
  <si>
    <t>1299 Garth Brooks Boulevard</t>
  </si>
  <si>
    <t>Yukon</t>
  </si>
  <si>
    <t>586D : Ardmore Commons</t>
  </si>
  <si>
    <t>586D</t>
  </si>
  <si>
    <t>Ardmore</t>
  </si>
  <si>
    <t>2401 12th Ave NW, Suite 115</t>
  </si>
  <si>
    <t>990F : Wrangler &amp; Harvey</t>
  </si>
  <si>
    <t>990F</t>
  </si>
  <si>
    <t>Wrangler</t>
  </si>
  <si>
    <t>1600 Highway 9</t>
  </si>
  <si>
    <t>Seminole</t>
  </si>
  <si>
    <t>3ISS : Asbury Rd &amp; Holiday Dr</t>
  </si>
  <si>
    <t>3ISS</t>
  </si>
  <si>
    <t>Dubuque</t>
  </si>
  <si>
    <t>4840 Asbury Rd</t>
  </si>
  <si>
    <t>IA</t>
  </si>
  <si>
    <t>MO/IA/NE</t>
  </si>
  <si>
    <t>BILL CLARK</t>
  </si>
  <si>
    <t>4ASM : Jr Prewitt Pkwy &amp; Goldie Pearl Blvd</t>
  </si>
  <si>
    <t>4ASM</t>
  </si>
  <si>
    <t>Osage</t>
  </si>
  <si>
    <t>3924 JR Prewit Pkwy, Suite A2</t>
  </si>
  <si>
    <t>Osage Beach</t>
  </si>
  <si>
    <t>MO</t>
  </si>
  <si>
    <t>4ASN : Missouri Blvd &amp; Heisinger Rd</t>
  </si>
  <si>
    <t>4ASN</t>
  </si>
  <si>
    <t>Jeff City</t>
  </si>
  <si>
    <t>2120 Missouri Blvd, Suite A</t>
  </si>
  <si>
    <t>Jefferson City</t>
  </si>
  <si>
    <t>4ASP : S Bishop Ave &amp; Ridgeview Rd</t>
  </si>
  <si>
    <t>4ASP</t>
  </si>
  <si>
    <t>Rolla</t>
  </si>
  <si>
    <t>206 S Bishop Ave, Suite E</t>
  </si>
  <si>
    <t>3ISY : Virginia Ave &amp; S 25th St</t>
  </si>
  <si>
    <t>3ISY</t>
  </si>
  <si>
    <t>Virginia Avenue</t>
  </si>
  <si>
    <t>2418 Virginia Ave</t>
  </si>
  <si>
    <t>Clinton</t>
  </si>
  <si>
    <t>4ASA : Diamond Blvd &amp; Palmyra Rd</t>
  </si>
  <si>
    <t>4ASA</t>
  </si>
  <si>
    <t>Hannibal</t>
  </si>
  <si>
    <t>1 Diamond Blvd</t>
  </si>
  <si>
    <t>3ISH : 8th St SW &amp; 34th Ave SW</t>
  </si>
  <si>
    <t>3ISH</t>
  </si>
  <si>
    <t>Altoona</t>
  </si>
  <si>
    <t>3345 8th St SW, Suite B</t>
  </si>
  <si>
    <t>3ISR : W Broadway &amp; S 22nd St</t>
  </si>
  <si>
    <t>3ISR</t>
  </si>
  <si>
    <t>Council Bluffs</t>
  </si>
  <si>
    <t>2133 W Broadway, Suite 300</t>
  </si>
  <si>
    <t>4BSH : W Maple Rd &amp; N 150th St</t>
  </si>
  <si>
    <t>4BSH</t>
  </si>
  <si>
    <t>Maple</t>
  </si>
  <si>
    <t>14919 West Maple Rd, Suite 104</t>
  </si>
  <si>
    <t>Omaha</t>
  </si>
  <si>
    <t>NE</t>
  </si>
  <si>
    <t>4BSI : N 180th St &amp; Burke St</t>
  </si>
  <si>
    <t>4BSI</t>
  </si>
  <si>
    <t>180th Street</t>
  </si>
  <si>
    <t>203 N 180th Street, Suite 103</t>
  </si>
  <si>
    <t>4BSM : Wright St &amp; S 177th St</t>
  </si>
  <si>
    <t>4BSM</t>
  </si>
  <si>
    <t>Center</t>
  </si>
  <si>
    <t>17650 Wright Street, Suite 2</t>
  </si>
  <si>
    <t>4BSP : 27th &amp; King</t>
  </si>
  <si>
    <t>4BSP</t>
  </si>
  <si>
    <t>King Lane</t>
  </si>
  <si>
    <t>2711 King Lane, Suite 203</t>
  </si>
  <si>
    <t>Lincoln</t>
  </si>
  <si>
    <t>4BSR : N Webb Rd &amp; College St</t>
  </si>
  <si>
    <t>4BSR</t>
  </si>
  <si>
    <t>Grand Island</t>
  </si>
  <si>
    <t>2250 Webb Rd, Suite 216</t>
  </si>
  <si>
    <t>1627 : Loop 410 &amp; Marbach Rd</t>
  </si>
  <si>
    <t>1627</t>
  </si>
  <si>
    <t>Marbach</t>
  </si>
  <si>
    <t>8223 Marbach Rd, Suite 104</t>
  </si>
  <si>
    <t>San Antonio</t>
  </si>
  <si>
    <t>SA SOUTH</t>
  </si>
  <si>
    <t>GIL CASTILLO</t>
  </si>
  <si>
    <t>1DSZ : H-E-B Plus</t>
  </si>
  <si>
    <t>1DSZ</t>
  </si>
  <si>
    <t>HEB-Lytle</t>
  </si>
  <si>
    <t>19337 McDonald St</t>
  </si>
  <si>
    <t>Lytle</t>
  </si>
  <si>
    <t>1ESF : Military Dr &amp; Yarrow Blvd</t>
  </si>
  <si>
    <t>1ESF</t>
  </si>
  <si>
    <t>SW Military</t>
  </si>
  <si>
    <t>2716 SW Military Dr, Suite 106</t>
  </si>
  <si>
    <t>1ESL : South Park Mall</t>
  </si>
  <si>
    <t>1ESL</t>
  </si>
  <si>
    <t>South Park Mall</t>
  </si>
  <si>
    <t>2310 SW Military Dr, Suite 412</t>
  </si>
  <si>
    <t>1VSE : Valley Hi &amp; SW Loop 410</t>
  </si>
  <si>
    <t>1VSE</t>
  </si>
  <si>
    <t>Valley Hi</t>
  </si>
  <si>
    <t>410 Valley Hi Dr, Suite 302</t>
  </si>
  <si>
    <t>2074 : Dellcrest Plaza</t>
  </si>
  <si>
    <t>2074</t>
  </si>
  <si>
    <t>Rigsby Avenue</t>
  </si>
  <si>
    <t>4525 Rigsby Rd, Suite 102</t>
  </si>
  <si>
    <t>221D : N Veterans Blvd &amp; 2nd St</t>
  </si>
  <si>
    <t>221D</t>
  </si>
  <si>
    <t>Eagle Pass</t>
  </si>
  <si>
    <t>2089 N Veterans Blvd, Suite A</t>
  </si>
  <si>
    <t>4723 : Palo Alto Rd &amp; I-35</t>
  </si>
  <si>
    <t>4723</t>
  </si>
  <si>
    <t>Palo Alto</t>
  </si>
  <si>
    <t>1431 Palo Alto Rd, Suite 108</t>
  </si>
  <si>
    <t>5441 : S Bibb Ave &amp; E Main St</t>
  </si>
  <si>
    <t>5441</t>
  </si>
  <si>
    <t>South Bibb</t>
  </si>
  <si>
    <t>432 S Bibb Ave, Suite 100</t>
  </si>
  <si>
    <t>584D : E Main St &amp; Ham Ln</t>
  </si>
  <si>
    <t>584D</t>
  </si>
  <si>
    <t>Uvalde</t>
  </si>
  <si>
    <t>2809 E Main St, Suite 2</t>
  </si>
  <si>
    <t>1DSW : Junction Hwy &amp; E Sunset Dr</t>
  </si>
  <si>
    <t>1DSW</t>
  </si>
  <si>
    <t>Kerrville</t>
  </si>
  <si>
    <t>1304 Junction Hwy, Suite 1100</t>
  </si>
  <si>
    <t>SA/HILL COUNTRY</t>
  </si>
  <si>
    <t>BELEN SOLIZ</t>
  </si>
  <si>
    <t>1ESB : Creekside Way &amp; Town Center Dr</t>
  </si>
  <si>
    <t>1ESB</t>
  </si>
  <si>
    <t>Creekside</t>
  </si>
  <si>
    <t>160 Creekside Way, Suite 102</t>
  </si>
  <si>
    <t>New Braunfels</t>
  </si>
  <si>
    <t>1ESD : S Hwy 123 Byp &amp; E Court St</t>
  </si>
  <si>
    <t>1ESD</t>
  </si>
  <si>
    <t>Seguin</t>
  </si>
  <si>
    <t>260 S Highway 123 Byp</t>
  </si>
  <si>
    <t>1ESU : The RIM</t>
  </si>
  <si>
    <t>1ESU</t>
  </si>
  <si>
    <t>La Cantera</t>
  </si>
  <si>
    <t>17503 La Cantera Pkwy, Suite 112</t>
  </si>
  <si>
    <t>569D : S Main St &amp; W Bandera Rd</t>
  </si>
  <si>
    <t>569D</t>
  </si>
  <si>
    <t>South Main</t>
  </si>
  <si>
    <t>1375 S Main St, Suite 205</t>
  </si>
  <si>
    <t>Boerne</t>
  </si>
  <si>
    <t>583D : Cibolo, TX</t>
  </si>
  <si>
    <t>583D</t>
  </si>
  <si>
    <t>Cibolo</t>
  </si>
  <si>
    <t>635 Cibolo Valley Drive, Suite 165</t>
  </si>
  <si>
    <t>767D : Spring Branch, TX</t>
  </si>
  <si>
    <t>767D</t>
  </si>
  <si>
    <t>Spring Branch</t>
  </si>
  <si>
    <t>20743 State Highway 46 W, Suite 130</t>
  </si>
  <si>
    <t>776D : Thousand Oaks &amp; Jones Maltsberger</t>
  </si>
  <si>
    <t>776D</t>
  </si>
  <si>
    <t>Thousand Oaks</t>
  </si>
  <si>
    <t>2941 Thousand Oaks</t>
  </si>
  <si>
    <t>5332 : Houston Hwy &amp; Delmar Drive</t>
  </si>
  <si>
    <t>5332</t>
  </si>
  <si>
    <t>Victoria</t>
  </si>
  <si>
    <t>4109 Houston Hwy, Suite 300</t>
  </si>
  <si>
    <t>SOUTH TX/RGV</t>
  </si>
  <si>
    <t>JEANELLE PAZOS PRIETO</t>
  </si>
  <si>
    <t>536E : N Saint Marys St &amp; Trojan Dr</t>
  </si>
  <si>
    <t>536E</t>
  </si>
  <si>
    <t>Beeville</t>
  </si>
  <si>
    <t>2012 N St Marys St, Suite D</t>
  </si>
  <si>
    <t>1953 : Plaza Viejo</t>
  </si>
  <si>
    <t>1953</t>
  </si>
  <si>
    <t>Viejo</t>
  </si>
  <si>
    <t>7470 Padre Island Hwy, Suite 180</t>
  </si>
  <si>
    <t>Brownsville</t>
  </si>
  <si>
    <t>200E : Hwy 35N &amp; Colorado St</t>
  </si>
  <si>
    <t>200E</t>
  </si>
  <si>
    <t>Rockport</t>
  </si>
  <si>
    <t>2308 Highway 35 N</t>
  </si>
  <si>
    <t>216E : NorthShore Plaza</t>
  </si>
  <si>
    <t>216E</t>
  </si>
  <si>
    <t>Portland</t>
  </si>
  <si>
    <t>1235 US Highway 181</t>
  </si>
  <si>
    <t>2584 : N Conway &amp; Fm 1924</t>
  </si>
  <si>
    <t>2584</t>
  </si>
  <si>
    <t>North Conway</t>
  </si>
  <si>
    <t>4416 N Conway Ave, Suite 105</t>
  </si>
  <si>
    <t>Palmhurst</t>
  </si>
  <si>
    <t>374E : Ocean Blvd &amp; Nogal St</t>
  </si>
  <si>
    <t>374E</t>
  </si>
  <si>
    <t>Ocean Blvd</t>
  </si>
  <si>
    <t>324 W Ocean Blvd, Suite 106B</t>
  </si>
  <si>
    <t>Los Fresnos</t>
  </si>
  <si>
    <t>598D : Dr N W Atkinson Blvd &amp; E Main St</t>
  </si>
  <si>
    <t>598D</t>
  </si>
  <si>
    <t>Alice</t>
  </si>
  <si>
    <t>2000 Dr N W Atkinson Blvd, Suite 101</t>
  </si>
  <si>
    <t>5DSX : Brahma &amp; General Cavazos</t>
  </si>
  <si>
    <t>5DSX</t>
  </si>
  <si>
    <t>Kingsville</t>
  </si>
  <si>
    <t>2730 S Brahma Blvd, Suite 120</t>
  </si>
  <si>
    <t>1LSS : E Main St &amp; Browning Pkwy</t>
  </si>
  <si>
    <t>1LSS</t>
  </si>
  <si>
    <t>Farmington</t>
  </si>
  <si>
    <t>2844 E Main St, Suite 103</t>
  </si>
  <si>
    <t>NM</t>
  </si>
  <si>
    <t>WEST TEXAS</t>
  </si>
  <si>
    <t>ANTHONY MONTOYA</t>
  </si>
  <si>
    <t>1FSX : N Interstate 27 &amp; W 13th St</t>
  </si>
  <si>
    <t>1FSX</t>
  </si>
  <si>
    <t>Plainview</t>
  </si>
  <si>
    <t>1123 N Interstate 27</t>
  </si>
  <si>
    <t>1FSZ : S Georgia St &amp; S Austin St</t>
  </si>
  <si>
    <t>1FSZ</t>
  </si>
  <si>
    <t>S. Georgia</t>
  </si>
  <si>
    <t>2327 S Georgia</t>
  </si>
  <si>
    <t>Amarillo</t>
  </si>
  <si>
    <t>705D : N Midkiff Rd &amp; Loop 250</t>
  </si>
  <si>
    <t>705D</t>
  </si>
  <si>
    <t>Midland</t>
  </si>
  <si>
    <t>4706 N Midkiff Rd, Suite 12</t>
  </si>
  <si>
    <t>903E : Olton Rd &amp; Ennis St</t>
  </si>
  <si>
    <t>903E</t>
  </si>
  <si>
    <t>Olton</t>
  </si>
  <si>
    <t>3310 Olton Rd</t>
  </si>
  <si>
    <t>922E : Walmart Ct &amp; Loop 338</t>
  </si>
  <si>
    <t>922E</t>
  </si>
  <si>
    <t>Walmart Court</t>
  </si>
  <si>
    <t>200 Walmart Ct, Suite D</t>
  </si>
  <si>
    <t>Odessa</t>
  </si>
  <si>
    <t>930E : Gregg St &amp; 19th St</t>
  </si>
  <si>
    <t>930E</t>
  </si>
  <si>
    <t>Big Spring</t>
  </si>
  <si>
    <t>1900 S Gregg St, Suite A</t>
  </si>
  <si>
    <t>Month</t>
  </si>
  <si>
    <t>Region</t>
  </si>
  <si>
    <t>Quintile Position</t>
  </si>
  <si>
    <t>Overall Rank</t>
  </si>
  <si>
    <t>Overall Score</t>
  </si>
  <si>
    <t>*</t>
  </si>
  <si>
    <t>GP Per Labor Hour Actual</t>
  </si>
  <si>
    <t>GP Per Labor Hour Tgt</t>
  </si>
  <si>
    <t>GP Per Labor Hour %Tgt</t>
  </si>
  <si>
    <t>GP Per Labor Hour Rank</t>
  </si>
  <si>
    <t>PP Acts</t>
  </si>
  <si>
    <t>PP Act Tgt</t>
  </si>
  <si>
    <t>PP Act %Tgt</t>
  </si>
  <si>
    <t>PP Act Attain Rank</t>
  </si>
  <si>
    <t>ReBiz Boxes</t>
  </si>
  <si>
    <t>ReBiz Traffic</t>
  </si>
  <si>
    <t>Rebiz Conv</t>
  </si>
  <si>
    <t>Rebiz Conv Target</t>
  </si>
  <si>
    <t>ReBiz Conv %Tgt</t>
  </si>
  <si>
    <t>ReBiz Conv Rank</t>
  </si>
  <si>
    <t>Acc GP Pct Actual</t>
  </si>
  <si>
    <t>Acc GP Pct Rank</t>
  </si>
  <si>
    <t>CSAT Actual</t>
  </si>
  <si>
    <t>CSAT Rank</t>
  </si>
  <si>
    <t>Visa Priority Apps</t>
  </si>
  <si>
    <t>Visa Priority Interactions</t>
  </si>
  <si>
    <t>Visa Priority Rate</t>
  </si>
  <si>
    <t>Visa Priority Rate Tgt</t>
  </si>
  <si>
    <t>Visa Priority Rate %Tg</t>
  </si>
  <si>
    <t>Visa Priority Rate Rank</t>
  </si>
  <si>
    <t>Indexed P360 Attach Rate</t>
  </si>
  <si>
    <t>P360 Attach Rate Tgt</t>
  </si>
  <si>
    <t>P360 Attach Rate %Tgt</t>
  </si>
  <si>
    <t>P360 Attach Rate Rank</t>
  </si>
  <si>
    <t>Premium Lines</t>
  </si>
  <si>
    <t>New Lines</t>
  </si>
  <si>
    <t>Premium Mix Rate</t>
  </si>
  <si>
    <t>Premium Mix Rate Tgt</t>
  </si>
  <si>
    <t>Premium Mix Rate %Tgt</t>
  </si>
  <si>
    <t>Premium Rate Plan Rank</t>
  </si>
  <si>
    <t>08/2026</t>
  </si>
  <si>
    <t>East</t>
  </si>
  <si>
    <t>North</t>
  </si>
  <si>
    <t>Central</t>
  </si>
  <si>
    <t>South</t>
  </si>
  <si>
    <t>District</t>
  </si>
  <si>
    <t>Central Texas</t>
  </si>
  <si>
    <t>SA South</t>
  </si>
  <si>
    <t>SA/Hill Country</t>
  </si>
  <si>
    <t>West Texas</t>
  </si>
  <si>
    <t>DFW East</t>
  </si>
  <si>
    <t>South TX/RGV</t>
  </si>
  <si>
    <t>DFW North</t>
  </si>
  <si>
    <t>SAP</t>
  </si>
  <si>
    <t>Sap: Loaction</t>
  </si>
  <si>
    <t>4ASM: Osage</t>
  </si>
  <si>
    <t>3ISR: Council Bluffs</t>
  </si>
  <si>
    <t>5280: Garth Brooks Blvd</t>
  </si>
  <si>
    <t>4781: Market Place</t>
  </si>
  <si>
    <t>545D: College Station</t>
  </si>
  <si>
    <t>1627: Marbach</t>
  </si>
  <si>
    <t>2584: North Conway</t>
  </si>
  <si>
    <t>687E: Peoria Ave</t>
  </si>
  <si>
    <t>966D: Sapulpa</t>
  </si>
  <si>
    <t>1DSW: Kerrville</t>
  </si>
  <si>
    <t>4789: Owen Garriott</t>
  </si>
  <si>
    <t>374E: Ocean Blvd</t>
  </si>
  <si>
    <t>875E: Custer</t>
  </si>
  <si>
    <t>1DSZ: HEB-Lytle</t>
  </si>
  <si>
    <t>1FSM: Round Rock</t>
  </si>
  <si>
    <t>1DSU: Bryan</t>
  </si>
  <si>
    <t>586D: Ardmore</t>
  </si>
  <si>
    <t>1FSH: Manor</t>
  </si>
  <si>
    <t>1CSD: Bedford</t>
  </si>
  <si>
    <t>1CSM: Weatherford</t>
  </si>
  <si>
    <t>618E: Pines Road</t>
  </si>
  <si>
    <t>2074: Rigsby Avenue</t>
  </si>
  <si>
    <t>569D: South Main</t>
  </si>
  <si>
    <t>903E: Olton</t>
  </si>
  <si>
    <t>1ESB: Creekside</t>
  </si>
  <si>
    <t>776D: Thousand Oaks</t>
  </si>
  <si>
    <t>1FSX: Plainview</t>
  </si>
  <si>
    <t>705D: Midland</t>
  </si>
  <si>
    <t>1ESL: South Park Mall</t>
  </si>
  <si>
    <t>1FSI: Marble Falls</t>
  </si>
  <si>
    <t>4320: Bartlesville</t>
  </si>
  <si>
    <t>221D: Eagle Pass</t>
  </si>
  <si>
    <t>990F: Wrangler</t>
  </si>
  <si>
    <t>1FSU: West Woods</t>
  </si>
  <si>
    <t>1FSC: Buda</t>
  </si>
  <si>
    <t>904E: Jefferson</t>
  </si>
  <si>
    <t>849C: George Washington</t>
  </si>
  <si>
    <t>3ISY: Virginia Avenue</t>
  </si>
  <si>
    <t>4DSC: Mustang</t>
  </si>
  <si>
    <t>4BSM: Center</t>
  </si>
  <si>
    <t>0115: Rufe Snow</t>
  </si>
  <si>
    <t>0118: Eastchase</t>
  </si>
  <si>
    <t>2536: Cooper Street</t>
  </si>
  <si>
    <t>1FSZ: S. Georgia</t>
  </si>
  <si>
    <t>4723: Palo Alto</t>
  </si>
  <si>
    <t>5441: South Bibb</t>
  </si>
  <si>
    <t>4ASP: Rolla</t>
  </si>
  <si>
    <t>1LSS: Farmington</t>
  </si>
  <si>
    <t>583D: Cibolo</t>
  </si>
  <si>
    <t>1DST: Texas Ave</t>
  </si>
  <si>
    <t>1FSS: Belterra</t>
  </si>
  <si>
    <t>5784: Wesley</t>
  </si>
  <si>
    <t>5564: Golden Triangle</t>
  </si>
  <si>
    <t>200E: Rockport</t>
  </si>
  <si>
    <t>4ASN: Jeff City</t>
  </si>
  <si>
    <t>1BSE: Red Oak</t>
  </si>
  <si>
    <t>1DSF: Killeen</t>
  </si>
  <si>
    <t>961F: Highway 71</t>
  </si>
  <si>
    <t>6ESH: Chisholm Trail</t>
  </si>
  <si>
    <t>1357: Richardson TX</t>
  </si>
  <si>
    <t>4ASA: Hannibal</t>
  </si>
  <si>
    <t>465D: Stonebrook</t>
  </si>
  <si>
    <t>930E: Big Spring</t>
  </si>
  <si>
    <t>5761: Corsicana Hwy</t>
  </si>
  <si>
    <t>2819: Walnut</t>
  </si>
  <si>
    <t>922E: Walmart Court</t>
  </si>
  <si>
    <t>407D: Ponca City</t>
  </si>
  <si>
    <t>211E: Cleburne</t>
  </si>
  <si>
    <t>4BSR: Grand Island</t>
  </si>
  <si>
    <t>924C: Granbury</t>
  </si>
  <si>
    <t>216E: Portland</t>
  </si>
  <si>
    <t>3ISS: Dubuque</t>
  </si>
  <si>
    <t>767D: Spring Branch</t>
  </si>
  <si>
    <t>5332: Victoria</t>
  </si>
  <si>
    <t>1953: Viejo</t>
  </si>
  <si>
    <t>1DSG: Taylor</t>
  </si>
  <si>
    <t>536E: Beeville</t>
  </si>
  <si>
    <t>1DSD: Copperas Cove</t>
  </si>
  <si>
    <t>1ESF: SW Military</t>
  </si>
  <si>
    <t>4BSP: King Lane</t>
  </si>
  <si>
    <t>5DSX: Kingsville</t>
  </si>
  <si>
    <t>114E: Chickasha</t>
  </si>
  <si>
    <t>857C: Schilling</t>
  </si>
  <si>
    <t>1ESD: Seguin</t>
  </si>
  <si>
    <t>598D: Alice</t>
  </si>
  <si>
    <t>1VSE: Valley Hi</t>
  </si>
  <si>
    <t>5429: Seventh Ave</t>
  </si>
  <si>
    <t>256E: Stephenville</t>
  </si>
  <si>
    <t>4BSH: Maple</t>
  </si>
  <si>
    <t>584D: Uvalde</t>
  </si>
  <si>
    <t>1BSA: Ennis</t>
  </si>
  <si>
    <t>4BSI: 180th Street</t>
  </si>
  <si>
    <t>NaN</t>
  </si>
  <si>
    <t>1239: Duncanville</t>
  </si>
  <si>
    <t>Data Thru</t>
  </si>
  <si>
    <t>Metric</t>
  </si>
  <si>
    <t>Weighting</t>
  </si>
  <si>
    <t>GP Per Labor Hour</t>
  </si>
  <si>
    <t>PP Act</t>
  </si>
  <si>
    <t>ReBiz Conv</t>
  </si>
  <si>
    <t>Acc GP</t>
  </si>
  <si>
    <t>CSAT</t>
  </si>
  <si>
    <t>Visa Priority</t>
  </si>
  <si>
    <t>P360 Attach</t>
  </si>
  <si>
    <t>Premium Mix</t>
  </si>
  <si>
    <t>Min Rank</t>
  </si>
  <si>
    <t>Max Rank</t>
  </si>
  <si>
    <t>Store Ranking Table</t>
  </si>
  <si>
    <t>Region Ranking Table</t>
  </si>
  <si>
    <t>District Ranking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</si>
</sst>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0.00%;\-0.00%;0.00%"/>
  </numFmts>
  <fonts count="6">
    <font>
      <sz val="12"/>
      <name val="Aptos Narrow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ptos Narrow"/>
    </font>
    <font>
      <sz val="12"/>
      <color rgb="FFFFFFFF"/>
      <name val="Aptos Narrow"/>
      <family val="2"/>
    </font>
    <font>
      <sz val="12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3" fillId="0" borderId="2" xfId="0" applyFont="1" applyBorder="1"/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/>
    <xf numFmtId="0" fontId="0" fillId="0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6" fontId="0" fillId="0" borderId="4" xfId="0" applyNumberFormat="1" applyBorder="1"/>
    <xf numFmtId="0" fontId="5" fillId="0" borderId="5" xfId="0" applyFont="1" applyBorder="1" applyAlignment="1">
      <alignment horizontal="center" vertical="center" wrapText="1"/>
    </xf>
    <xf numFmtId="10" fontId="0" fillId="0" borderId="4" xfId="0" applyNumberFormat="1" applyBorder="1"/>
    <xf numFmtId="10" fontId="0" fillId="0" borderId="6" xfId="0" applyNumberFormat="1" applyBorder="1"/>
    <xf numFmtId="0" fontId="4" fillId="4" borderId="7" xfId="0" applyFont="1" applyFill="1" applyBorder="1" applyAlignment="1">
      <alignment horizontal="center" vertical="center" wrapText="1"/>
    </xf>
    <xf numFmtId="1" fontId="0" fillId="5" borderId="8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1" fontId="0" fillId="6" borderId="8" xfId="0" applyNumberFormat="1" applyFill="1" applyBorder="1" applyAlignment="1">
      <alignment horizontal="center" vertical="center"/>
    </xf>
    <xf numFmtId="1" fontId="0" fillId="6" borderId="9" xfId="0" applyNumberFormat="1" applyFill="1" applyBorder="1" applyAlignment="1">
      <alignment horizontal="center" vertical="center"/>
    </xf>
    <xf numFmtId="1" fontId="0" fillId="7" borderId="8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1" fontId="0" fillId="8" borderId="8" xfId="0" applyNumberFormat="1" applyFill="1" applyBorder="1" applyAlignment="1">
      <alignment horizontal="center" vertical="center"/>
    </xf>
    <xf numFmtId="1" fontId="0" fillId="8" borderId="9" xfId="0" applyNumberFormat="1" applyFill="1" applyBorder="1" applyAlignment="1">
      <alignment horizontal="center" vertical="center"/>
    </xf>
    <xf numFmtId="1" fontId="0" fillId="9" borderId="8" xfId="0" applyNumberFormat="1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0" fontId="1" fillId="2" borderId="10" xfId="1" applyFont="1" applyBorder="1" applyAlignment="1">
      <alignment horizontal="center"/>
    </xf>
    <xf numFmtId="0" fontId="2" fillId="2" borderId="11" xfId="1" applyBorder="1" applyAlignment="1">
      <alignment horizontal="center" vertical="center" wrapText="1"/>
    </xf>
    <xf numFmtId="1" fontId="0" fillId="10" borderId="12" xfId="0" applyNumberFormat="1" applyFill="1" applyBorder="1" applyAlignment="1">
      <alignment horizontal="center" vertical="center"/>
    </xf>
    <xf numFmtId="1" fontId="0" fillId="11" borderId="12" xfId="0" applyNumberFormat="1" applyFill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1" fontId="0" fillId="12" borderId="12" xfId="0" applyNumberFormat="1" applyFill="1" applyBorder="1" applyAlignment="1">
      <alignment horizontal="center" vertical="center"/>
    </xf>
    <xf numFmtId="1" fontId="0" fillId="13" borderId="12" xfId="0" applyNumberFormat="1" applyFill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118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4" formatCode="\$#,##0.00;\(\$#,##0.00\);\$#,##0.00"/>
    </dxf>
    <dxf>
      <numFmt numFmtId="164" formatCode="\$#,##0.00;\(\$#,##0.00\);\$#,##0.00"/>
    </dxf>
    <dxf>
      <numFmt numFmtId="1" formatCode="0"/>
    </dxf>
    <dxf>
      <numFmt numFmtId="1" formatCode="0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" formatCode="0"/>
    </dxf>
    <dxf>
      <numFmt numFmtId="165" formatCode="0.00%;\-0.00%;0.00%"/>
    </dxf>
    <dxf>
      <numFmt numFmtId="164" formatCode="\$#,##0.00;\(\$#,##0.00\);\$#,##0.00"/>
    </dxf>
    <dxf>
      <numFmt numFmtId="164" formatCode="\$#,##0.00;\(\$#,##0.00\);\$#,##0.00"/>
    </dxf>
    <dxf>
      <numFmt numFmtId="165" formatCode="0.00%;\-0.00%;0.00%"/>
    </dxf>
    <dxf>
      <numFmt numFmtId="1" formatCode="0"/>
    </dxf>
    <dxf>
      <numFmt numFmtId="1" formatCode="0"/>
    </dxf>
    <dxf>
      <border>
        <bottom style="thin">
          <color auto="1"/>
        </bottom>
      </border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2" formatCode="0.0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" formatCode="0"/>
    </dxf>
    <dxf>
      <numFmt numFmtId="165" formatCode="0.00%;\-0.00%;0.00%"/>
    </dxf>
    <dxf>
      <numFmt numFmtId="164" formatCode="\$#,##0.00;\(\$#,##0.00\);\$#,##0.00"/>
    </dxf>
    <dxf>
      <numFmt numFmtId="164" formatCode="\$#,##0.00;\(\$#,##0.00\);\$#,##0.00"/>
    </dxf>
    <dxf>
      <numFmt numFmtId="165" formatCode="0.00%;\-0.00%;0.00%"/>
    </dxf>
    <dxf>
      <numFmt numFmtId="1" formatCode="0"/>
    </dxf>
    <dxf>
      <numFmt numFmtId="1" formatCode="0"/>
    </dxf>
    <dxf>
      <border>
        <bottom style="thin">
          <color auto="1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0" formatCode="General"/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40483B-FE99-CD4C-BA30-C30540AC2B32}" name="Table6" displayName="Table6" ref="A1:AN5" totalsRowShown="0" headerRowBorderDxfId="104">
  <autoFilter ref="A1:AN5" xr:uid="{9640483B-FE99-CD4C-BA30-C30540AC2B32}"/>
  <tableColumns count="40">
    <tableColumn id="1" xr3:uid="{745B581A-85C1-9942-9481-E1606E78646C}" name="Month"/>
    <tableColumn id="2" xr3:uid="{2BE1930F-DBE2-D74D-A135-39605967E6DB}" name="Region"/>
    <tableColumn id="3" xr3:uid="{A34887EE-1F71-3F4A-A620-340329E1E56B}" name="Quintile Position" dataDxfId="103"/>
    <tableColumn id="4" xr3:uid="{2F57CD95-2460-8642-92A3-A839E8DD4E10}" name="Overall Rank" dataDxfId="102"/>
    <tableColumn id="5" xr3:uid="{4DB94A51-AA85-0F48-B9E2-3D02F258934B}" name="Overall Score"/>
    <tableColumn id="6" xr3:uid="{FA00576D-BB19-694B-BEF8-4AB7E09CFC67}" name="*" dataDxfId="101"/>
    <tableColumn id="7" xr3:uid="{D232B326-56D9-7141-91A8-833860A3B137}" name="GP Per Labor Hour Actual" dataDxfId="100"/>
    <tableColumn id="8" xr3:uid="{99C0E037-6AF0-CE43-8CB0-CF58980128CE}" name="GP Per Labor Hour Tgt" dataDxfId="99"/>
    <tableColumn id="9" xr3:uid="{8E76B367-5DA9-2F48-B98C-58B48AA601B5}" name="GP Per Labor Hour %Tgt" dataDxfId="98"/>
    <tableColumn id="10" xr3:uid="{E1412D85-399C-AC48-ACA7-A72B383C1EDB}" name="GP Per Labor Hour Rank" dataDxfId="97"/>
    <tableColumn id="11" xr3:uid="{1F5A4304-CA8F-1246-A377-F0D1B6FCFBA6}" name="PP Acts" dataDxfId="96"/>
    <tableColumn id="12" xr3:uid="{2DE2239B-FDC5-5B4B-9328-876A985AC345}" name="PP Act Tgt" dataDxfId="95"/>
    <tableColumn id="13" xr3:uid="{39D14EEA-55D0-4048-AED1-FE015534EBF6}" name="PP Act %Tgt" dataDxfId="94"/>
    <tableColumn id="14" xr3:uid="{25036FA4-2DFF-434A-AD96-53B45A93249B}" name="PP Act Attain Rank" dataDxfId="93"/>
    <tableColumn id="15" xr3:uid="{A98E2A14-5BD0-C540-A932-07983512D271}" name="ReBiz Boxes" dataDxfId="92"/>
    <tableColumn id="16" xr3:uid="{15D37BD4-FB1F-C947-9239-8FF57217B707}" name="ReBiz Traffic" dataDxfId="91"/>
    <tableColumn id="17" xr3:uid="{FB286AF2-A617-AB45-91D8-2527FC1B0EB8}" name="Rebiz Conv" dataDxfId="90"/>
    <tableColumn id="18" xr3:uid="{43282729-A816-6D40-954B-A5E9EFF57601}" name="Rebiz Conv Target" dataDxfId="89"/>
    <tableColumn id="19" xr3:uid="{984EC489-F408-BC47-98F9-B8E3F5FA6C67}" name="ReBiz Conv %Tgt" dataDxfId="88"/>
    <tableColumn id="20" xr3:uid="{68424797-2542-F443-B10A-515A5D5C07E7}" name="ReBiz Conv Rank" dataDxfId="87"/>
    <tableColumn id="21" xr3:uid="{F8279286-CBAE-4243-8F38-E35B3AC77A58}" name="Acc GP Pct Actual" dataDxfId="86"/>
    <tableColumn id="22" xr3:uid="{AB5B7808-618B-E448-B62B-9EB39C6C3726}" name="Acc GP Pct Rank" dataDxfId="85"/>
    <tableColumn id="23" xr3:uid="{277E3C6C-09DA-A94D-A99A-1868CC0B606A}" name="CSAT Actual" dataDxfId="84"/>
    <tableColumn id="24" xr3:uid="{415D56B7-6478-E146-91C6-BEC1D5DE5DD8}" name="CSAT Rank" dataDxfId="83"/>
    <tableColumn id="25" xr3:uid="{5FA96F58-87DF-8147-9C47-6D44C1CC2D2A}" name="Visa Priority Apps" dataDxfId="82"/>
    <tableColumn id="26" xr3:uid="{A55CA3A6-AA57-1B44-A305-4F08BC3ADE7C}" name="Visa Priority Interactions" dataDxfId="81"/>
    <tableColumn id="27" xr3:uid="{24E957E2-7C1A-124D-BD88-8DA88C1639DA}" name="Visa Priority Rate" dataDxfId="80"/>
    <tableColumn id="28" xr3:uid="{1D8EA122-E9FB-664D-9B6F-70DA329D15D4}" name="Visa Priority Rate Tgt" dataDxfId="79"/>
    <tableColumn id="29" xr3:uid="{4F09F47E-28C9-1940-9D95-E0E69C73083F}" name="Visa Priority Rate %Tg" dataDxfId="78"/>
    <tableColumn id="30" xr3:uid="{D9CB51AB-945B-AA4C-8155-D75120061176}" name="Visa Priority Rate Rank" dataDxfId="77"/>
    <tableColumn id="31" xr3:uid="{0EA64EB9-0112-4E48-ACE6-1829123CB9EE}" name="Indexed P360 Attach Rate" dataDxfId="76"/>
    <tableColumn id="32" xr3:uid="{01DBD9B7-FC69-6446-BD02-5B9341B6B069}" name="P360 Attach Rate Tgt" dataDxfId="75"/>
    <tableColumn id="33" xr3:uid="{7B2E8B8A-5532-1647-89FD-3674DBBAF7E1}" name="P360 Attach Rate %Tgt" dataDxfId="74"/>
    <tableColumn id="34" xr3:uid="{3B31D0A8-4BB1-0D42-86C3-6CDF608E5BE7}" name="P360 Attach Rate Rank" dataDxfId="73"/>
    <tableColumn id="35" xr3:uid="{BA0F21B9-2B77-594B-A897-A88C3B4866B2}" name="Premium Lines" dataDxfId="72"/>
    <tableColumn id="36" xr3:uid="{AC43F3EE-D271-1241-9609-732F4A626FB0}" name="New Lines" dataDxfId="71"/>
    <tableColumn id="37" xr3:uid="{A099532E-CC65-D047-8E47-7CEDCEF46C1C}" name="Premium Mix Rate" dataDxfId="70"/>
    <tableColumn id="38" xr3:uid="{12991704-4DD4-784F-A67A-637A3DA83937}" name="Premium Mix Rate Tgt" dataDxfId="69"/>
    <tableColumn id="39" xr3:uid="{C8EA7CA7-8567-9647-AC1D-E6A3DFE19699}" name="Premium Mix Rate %Tgt" dataDxfId="68"/>
    <tableColumn id="40" xr3:uid="{9AC539E4-1C04-8B46-9EC8-400C5EA2C9C3}" name="Premium Rate Plan Rank" dataDxfId="6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E0E477-6018-0140-99D2-F6A0FE487040}" name="Table5" displayName="Table5" ref="A1:AN10" totalsRowShown="0" headerRowBorderDxfId="66">
  <autoFilter ref="A1:AN10" xr:uid="{1AE0E477-6018-0140-99D2-F6A0FE487040}"/>
  <tableColumns count="40">
    <tableColumn id="1" xr3:uid="{4C4C3246-DADE-2A47-95DF-C30E2CE48F1E}" name="Month"/>
    <tableColumn id="2" xr3:uid="{D06019A6-413D-9F47-AF7A-637484BC98A2}" name="District"/>
    <tableColumn id="3" xr3:uid="{1D9177E7-5DD0-2845-8BDD-B3A2C80CCCE5}" name="Quintile Position" dataDxfId="65"/>
    <tableColumn id="4" xr3:uid="{0F541AF6-1BFB-F844-B6FD-06D743E1BF7D}" name="Overall Rank" dataDxfId="64"/>
    <tableColumn id="5" xr3:uid="{1F7CA0DE-9CC6-AC44-B94F-8F5C1265C262}" name="Overall Score"/>
    <tableColumn id="6" xr3:uid="{A9EC0194-8C37-C641-BEA0-C8A99FE899D9}" name="*" dataDxfId="63"/>
    <tableColumn id="7" xr3:uid="{3A94F9DB-A510-974D-9DF4-7B2A95C7E87B}" name="GP Per Labor Hour Actual" dataDxfId="62"/>
    <tableColumn id="8" xr3:uid="{10808D86-8C83-BC4B-8831-EC1175871128}" name="GP Per Labor Hour Tgt" dataDxfId="61"/>
    <tableColumn id="9" xr3:uid="{7EF5CF61-BEBE-EA47-8664-E8D3F6744D91}" name="GP Per Labor Hour %Tgt" dataDxfId="60"/>
    <tableColumn id="10" xr3:uid="{6C101869-2B7D-7840-9E0A-F1EBDAF1C798}" name="GP Per Labor Hour Rank" dataDxfId="59"/>
    <tableColumn id="11" xr3:uid="{2C867EFF-D906-A04D-A5C9-160D76144900}" name="PP Acts" dataDxfId="58"/>
    <tableColumn id="12" xr3:uid="{1519846F-79B3-4748-83D3-5805AFA6FEAE}" name="PP Act Tgt" dataDxfId="57"/>
    <tableColumn id="13" xr3:uid="{FF14949A-7CE0-7248-B98A-EDF885284024}" name="PP Act %Tgt" dataDxfId="56"/>
    <tableColumn id="14" xr3:uid="{DD4B9113-AF29-5D48-89C8-3ABDE250846C}" name="PP Act Attain Rank" dataDxfId="55"/>
    <tableColumn id="15" xr3:uid="{67FC4592-83DF-944D-8714-A4A24C105771}" name="ReBiz Boxes" dataDxfId="54"/>
    <tableColumn id="16" xr3:uid="{B4C882A6-FA06-F349-9AF7-315DBFDA27A9}" name="ReBiz Traffic" dataDxfId="53"/>
    <tableColumn id="17" xr3:uid="{6FD34FB7-C52E-CD4C-B9F1-F49DE3201BF7}" name="Rebiz Conv" dataDxfId="52"/>
    <tableColumn id="18" xr3:uid="{9F73FB16-A406-CA49-A27E-6B92E08475FD}" name="Rebiz Conv Target" dataDxfId="51"/>
    <tableColumn id="19" xr3:uid="{0E445338-5DC2-BD49-BC02-63ED72EE8A61}" name="ReBiz Conv %Tgt" dataDxfId="50"/>
    <tableColumn id="20" xr3:uid="{51120177-47E7-9B47-8A6C-CB5ED24E6DC9}" name="ReBiz Conv Rank" dataDxfId="49"/>
    <tableColumn id="21" xr3:uid="{34EFCE3A-D40B-EF42-9D29-27F03A62DDB7}" name="Acc GP Pct Actual" dataDxfId="48"/>
    <tableColumn id="22" xr3:uid="{A0E2F00C-77D6-0A4D-A6C7-B5D65C700637}" name="Acc GP Pct Rank" dataDxfId="47"/>
    <tableColumn id="23" xr3:uid="{FB75B69A-1497-3740-83B1-378520150783}" name="CSAT Actual" dataDxfId="46"/>
    <tableColumn id="24" xr3:uid="{4767F852-A956-EC41-B169-C0A924F6A98D}" name="CSAT Rank" dataDxfId="45"/>
    <tableColumn id="25" xr3:uid="{DA04C6D7-97D3-D24E-8F26-EC0644F42CDA}" name="Visa Priority Apps" dataDxfId="44"/>
    <tableColumn id="26" xr3:uid="{A1969371-4A09-CF4C-8D6A-096B4EF8D8FF}" name="Visa Priority Interactions" dataDxfId="43"/>
    <tableColumn id="27" xr3:uid="{1135E578-53C8-CD4F-81A5-9202CD849ED9}" name="Visa Priority Rate" dataDxfId="42"/>
    <tableColumn id="28" xr3:uid="{B3512B62-D5F2-4446-8D94-8C6D9EA34842}" name="Visa Priority Rate Tgt" dataDxfId="41"/>
    <tableColumn id="29" xr3:uid="{F04E4223-3D40-E546-AFB9-465878153779}" name="Visa Priority Rate %Tg" dataDxfId="40"/>
    <tableColumn id="30" xr3:uid="{9660B9C2-A8A7-D248-B68C-E06DC0178140}" name="Visa Priority Rate Rank" dataDxfId="39"/>
    <tableColumn id="31" xr3:uid="{0B2E8E03-407A-5D42-A286-8A5348469157}" name="Indexed P360 Attach Rate" dataDxfId="38"/>
    <tableColumn id="32" xr3:uid="{69C1CBA1-DCB2-C945-ABFE-7BEEED6E15F2}" name="P360 Attach Rate Tgt" dataDxfId="37"/>
    <tableColumn id="33" xr3:uid="{E29395AC-FA55-3148-8011-E53BDAB35776}" name="P360 Attach Rate %Tgt" dataDxfId="36"/>
    <tableColumn id="34" xr3:uid="{23975454-3B71-AE43-A8ED-AE3B94741E40}" name="P360 Attach Rate Rank" dataDxfId="35"/>
    <tableColumn id="35" xr3:uid="{917BC9AD-1F14-7141-92CE-AA0E237F7A07}" name="Premium Lines" dataDxfId="34"/>
    <tableColumn id="36" xr3:uid="{07E61AA0-9F59-3945-9D2A-3D7747E4642C}" name="New Lines" dataDxfId="33"/>
    <tableColumn id="37" xr3:uid="{194C9BF5-06E4-AA47-B8CD-02EB9E832D95}" name="Premium Mix Rate" dataDxfId="32"/>
    <tableColumn id="38" xr3:uid="{405E74FA-D496-2A42-9786-72961142C774}" name="Premium Mix Rate Tgt" dataDxfId="31"/>
    <tableColumn id="39" xr3:uid="{35F8F23E-CBC0-C840-8781-30DA47DDC60E}" name="Premium Mix Rate %Tgt" dataDxfId="30"/>
    <tableColumn id="40" xr3:uid="{E0F9FBD0-A87C-574F-AC75-1123B5AC3D1E}" name="Premium Rate Plan Rank" dataDxfId="2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DB740C-87F1-EE4A-BB0C-BEFC90E92422}" name="Table1" displayName="Table1" ref="A1:AP94" totalsRowShown="0">
  <autoFilter ref="A1:AP94" xr:uid="{30DB740C-87F1-EE4A-BB0C-BEFC90E92422}"/>
  <tableColumns count="42">
    <tableColumn id="1" xr3:uid="{B0493F91-5679-A948-94FA-8A73741D88E4}" name="District" dataDxfId="1">
      <calculatedColumnFormula>_xlfn.XLOOKUP(Table1[[#This Row],[SAP]],'Location List'!B:B,'Location List'!G:G)</calculatedColumnFormula>
    </tableColumn>
    <tableColumn id="2" xr3:uid="{615C575E-CDA8-5249-A7AF-70D7B002ACCA}" name="SAP" dataDxfId="0">
      <calculatedColumnFormula>LEFT(Table1[[#This Row],[Sap: Loaction]],4)</calculatedColumnFormula>
    </tableColumn>
    <tableColumn id="3" xr3:uid="{8A2339FA-573E-8745-902D-0C0E9C4BC73A}" name="Month"/>
    <tableColumn id="4" xr3:uid="{FB2EC409-238E-E741-A472-396A88DE4A4E}" name="Sap: Loaction"/>
    <tableColumn id="5" xr3:uid="{D52B795B-2E3D-2D4B-8CD6-77707F70CB90}" name="Quintile Position" dataDxfId="28"/>
    <tableColumn id="6" xr3:uid="{A168D218-D14E-E547-B3B1-A2808F67BF89}" name="Overall Rank" dataDxfId="27"/>
    <tableColumn id="7" xr3:uid="{324FD7A0-1C61-1E4C-AA99-3A270307F2D9}" name="Overall Score"/>
    <tableColumn id="8" xr3:uid="{A10442A3-96C9-C446-A35C-12235E50A4D8}" name="*"/>
    <tableColumn id="9" xr3:uid="{E990B090-EAA2-8D4B-AEB6-7B3892094FD7}" name="GP Per Labor Hour Actual" dataDxfId="26"/>
    <tableColumn id="10" xr3:uid="{349F7BF2-356F-6348-BCC4-3B3C3AB4E00D}" name="GP Per Labor Hour Tgt" dataDxfId="25"/>
    <tableColumn id="11" xr3:uid="{6D684DE5-7137-5840-97C8-A4863C2FABE2}" name="GP Per Labor Hour %Tgt" dataDxfId="24"/>
    <tableColumn id="12" xr3:uid="{01775AEF-BD87-7A43-BAA8-F13144163089}" name="GP Per Labor Hour Rank" dataDxfId="23"/>
    <tableColumn id="13" xr3:uid="{1D632BF0-0B21-9C45-96BC-80C639B4EDF8}" name="PP Acts"/>
    <tableColumn id="14" xr3:uid="{9D46960D-F43E-744A-80EC-997AFB621AD6}" name="PP Act Tgt"/>
    <tableColumn id="15" xr3:uid="{C7060D04-9D4F-AA4E-8EB6-C5EFE1CD8C8D}" name="PP Act %Tgt" dataDxfId="22"/>
    <tableColumn id="16" xr3:uid="{8EB41998-EBB9-E044-9215-0BCF406BBFFB}" name="PP Act Attain Rank" dataDxfId="21"/>
    <tableColumn id="17" xr3:uid="{4B135FF0-738A-1148-968D-D0B4A64014F9}" name="ReBiz Boxes"/>
    <tableColumn id="18" xr3:uid="{C4D5AB58-0D47-B54C-9820-44DCEEEFA0FB}" name="ReBiz Traffic"/>
    <tableColumn id="19" xr3:uid="{8D540AF6-D589-2B47-A37C-F3457036C44B}" name="Rebiz Conv" dataDxfId="20"/>
    <tableColumn id="20" xr3:uid="{1A4AD9C4-FB16-704D-A94D-FF1A877BDAA0}" name="Rebiz Conv Target" dataDxfId="19"/>
    <tableColumn id="21" xr3:uid="{F2A3AC37-70AE-1F43-BD04-5BAB35B84325}" name="ReBiz Conv %Tgt" dataDxfId="18"/>
    <tableColumn id="22" xr3:uid="{3B169463-A998-094D-8F50-A2D360B78CAB}" name="ReBiz Conv Rank" dataDxfId="17"/>
    <tableColumn id="23" xr3:uid="{D4D05F28-A72F-394F-8F26-79425FF9EF2F}" name="Acc GP Pct Actual" dataDxfId="16"/>
    <tableColumn id="24" xr3:uid="{8296BA4E-3C04-1245-B57E-1FD32987A3C8}" name="Acc GP Pct Rank" dataDxfId="15"/>
    <tableColumn id="25" xr3:uid="{61C2A580-E640-634C-8BC6-F309EA32397E}" name="CSAT Actual"/>
    <tableColumn id="26" xr3:uid="{3EEAE444-B0C2-9B4D-8A36-2692524AF728}" name="CSAT Rank" dataDxfId="14"/>
    <tableColumn id="27" xr3:uid="{4ED7C8C1-A182-6D42-948B-7B6A0B3F5317}" name="Visa Priority Apps"/>
    <tableColumn id="28" xr3:uid="{9EBAFFE6-F1EC-FC45-B9CF-324651713FA1}" name="Visa Priority Interactions"/>
    <tableColumn id="29" xr3:uid="{F63A3291-D143-5544-8CD3-E8D1A5BD6691}" name="Visa Priority Rate" dataDxfId="13"/>
    <tableColumn id="30" xr3:uid="{B89CC8CA-9794-544F-8D9F-2539B39AAF26}" name="Visa Priority Rate Tgt" dataDxfId="12"/>
    <tableColumn id="31" xr3:uid="{8784C1D1-2A00-8B47-99D3-3FC0DF5A52E8}" name="Visa Priority Rate %Tg" dataDxfId="11"/>
    <tableColumn id="32" xr3:uid="{74291987-9F37-944A-9D6E-840AC61C3684}" name="Visa Priority Rate Rank" dataDxfId="10"/>
    <tableColumn id="33" xr3:uid="{BDB0B596-1E32-B742-B2DC-8453C8A0C2A8}" name="Indexed P360 Attach Rate" dataDxfId="9"/>
    <tableColumn id="34" xr3:uid="{FAF8028F-EDCF-FD4F-8CB9-50472D2B4A6A}" name="P360 Attach Rate Tgt" dataDxfId="8"/>
    <tableColumn id="35" xr3:uid="{94E51D17-D033-D94C-9EC9-408C5416E4B5}" name="P360 Attach Rate %Tgt" dataDxfId="7"/>
    <tableColumn id="36" xr3:uid="{BD30D2C8-CAD0-F645-8B7D-6F1A4F94152E}" name="P360 Attach Rate Rank" dataDxfId="6"/>
    <tableColumn id="37" xr3:uid="{37D3C2ED-932E-0944-BE6E-F080790AA39B}" name="Premium Lines"/>
    <tableColumn id="38" xr3:uid="{83E3FFC0-3F22-7B48-98F8-CD2A1C670E26}" name="New Lines"/>
    <tableColumn id="39" xr3:uid="{E9EB6480-39B5-C74E-9790-CF482D3E28A4}" name="Premium Mix Rate" dataDxfId="5"/>
    <tableColumn id="40" xr3:uid="{BABCBED6-E839-1C4E-BEA7-9ABD2F28AEF9}" name="Premium Mix Rate Tgt" dataDxfId="4"/>
    <tableColumn id="41" xr3:uid="{C548EB79-CE5F-7C4B-844C-127942052220}" name="Premium Mix Rate %Tgt" dataDxfId="3"/>
    <tableColumn id="42" xr3:uid="{1FA68684-EB6D-2E46-AB5A-783C10835526}" name="Premium Rate Plan Rank" dataDxfId="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8A931-1535-3943-8C05-0A1696D84B63}" name="Table24" displayName="Table24" ref="A1:L98" totalsRowShown="0" dataDxfId="117">
  <autoFilter ref="A1:L98" xr:uid="{00000000-0009-0000-0100-000002000000}"/>
  <tableColumns count="12">
    <tableColumn id="1" xr3:uid="{3FEB6CE3-5B7C-674A-A867-802311C44607}" name="AR Store Name" dataDxfId="116"/>
    <tableColumn id="2" xr3:uid="{50AA75CE-3BB3-D24B-A45F-347258F74836}" name="STORE CODE" dataDxfId="115"/>
    <tableColumn id="3" xr3:uid="{F3EC1DB5-C24C-9D44-BDCF-CDC8835FCE6C}" name="STORE NAME" dataDxfId="114"/>
    <tableColumn id="4" xr3:uid="{A1B2471F-CB7F-AB48-8DCE-A585A025C57E}" name="ADDRESS" dataDxfId="113"/>
    <tableColumn id="5" xr3:uid="{334D88FA-97D1-544E-9FD8-73E4B6049B4B}" name="CITY" dataDxfId="112"/>
    <tableColumn id="6" xr3:uid="{0F89ADE6-F38B-164A-BBF6-895032C31100}" name="STATE" dataDxfId="111"/>
    <tableColumn id="7" xr3:uid="{1F215A0E-6220-7245-8614-DC0C46252518}" name="DISTRICT" dataDxfId="110"/>
    <tableColumn id="8" xr3:uid="{AB2DD164-D502-7943-BC2D-A887C60C00B3}" name="REGION" dataDxfId="109"/>
    <tableColumn id="9" xr3:uid="{997E2F5A-3DCC-594D-8DEC-4A4C5520ADB2}" name="AREA" dataDxfId="108"/>
    <tableColumn id="10" xr3:uid="{9A64CD2B-CAE2-6B40-9A1E-88A2AC3CD2BA}" name="DM" dataDxfId="107"/>
    <tableColumn id="11" xr3:uid="{4DB8EA52-15EB-B345-A378-2BE0CC933B51}" name="RVP" dataDxfId="106"/>
    <tableColumn id="12" xr3:uid="{24C75FC1-3071-9B4B-A2AC-1049CA9B97C4}" name="ADM" dataDxfId="10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4508-ABF5-FA4A-BAA2-A6716E07A9DB}">
  <dimension ref="A1:AN5"/>
  <sheetViews>
    <sheetView workbookViewId="0">
      <selection sqref="A1:AN5"/>
    </sheetView>
  </sheetViews>
  <sheetFormatPr baseColWidth="10" defaultRowHeight="16"/>
  <cols>
    <col min="1" max="1" width="8.83203125" bestFit="1" customWidth="1"/>
    <col min="2" max="2" width="9.33203125" bestFit="1" customWidth="1"/>
    <col min="3" max="3" width="17.33203125" bestFit="1" customWidth="1"/>
    <col min="4" max="4" width="14" bestFit="1" customWidth="1"/>
    <col min="5" max="5" width="14.5" bestFit="1" customWidth="1"/>
    <col min="6" max="6" width="4.6640625" bestFit="1" customWidth="1"/>
    <col min="7" max="7" width="24.6640625" bestFit="1" customWidth="1"/>
    <col min="8" max="8" width="21.6640625" bestFit="1" customWidth="1"/>
    <col min="9" max="9" width="23.1640625" bestFit="1" customWidth="1"/>
    <col min="10" max="10" width="23.33203125" bestFit="1" customWidth="1"/>
    <col min="11" max="11" width="10.1640625" bestFit="1" customWidth="1"/>
    <col min="12" max="12" width="12" bestFit="1" customWidth="1"/>
    <col min="13" max="13" width="13.5" bestFit="1" customWidth="1"/>
    <col min="14" max="14" width="19.1640625" bestFit="1" customWidth="1"/>
    <col min="15" max="15" width="13.6640625" bestFit="1" customWidth="1"/>
    <col min="16" max="16" width="14" bestFit="1" customWidth="1"/>
    <col min="17" max="17" width="12.6640625" bestFit="1" customWidth="1"/>
    <col min="18" max="18" width="18.1640625" bestFit="1" customWidth="1"/>
    <col min="19" max="19" width="17.1640625" bestFit="1" customWidth="1"/>
    <col min="20" max="20" width="17.33203125" bestFit="1" customWidth="1"/>
    <col min="21" max="21" width="18.5" bestFit="1" customWidth="1"/>
    <col min="22" max="22" width="17.33203125" bestFit="1" customWidth="1"/>
    <col min="23" max="23" width="13.6640625" bestFit="1" customWidth="1"/>
    <col min="24" max="24" width="12.5" bestFit="1" customWidth="1"/>
    <col min="25" max="25" width="18.1640625" bestFit="1" customWidth="1"/>
    <col min="26" max="26" width="24.33203125" bestFit="1" customWidth="1"/>
    <col min="27" max="27" width="17.83203125" bestFit="1" customWidth="1"/>
    <col min="28" max="28" width="20.83203125" bestFit="1" customWidth="1"/>
    <col min="29" max="29" width="21.6640625" bestFit="1" customWidth="1"/>
    <col min="30" max="30" width="22.5" bestFit="1" customWidth="1"/>
    <col min="31" max="31" width="24.83203125" bestFit="1" customWidth="1"/>
    <col min="32" max="32" width="20.83203125" bestFit="1" customWidth="1"/>
    <col min="33" max="33" width="22.33203125" bestFit="1" customWidth="1"/>
    <col min="34" max="34" width="22.5" bestFit="1" customWidth="1"/>
    <col min="35" max="35" width="16.1640625" bestFit="1" customWidth="1"/>
    <col min="36" max="36" width="12.1640625" bestFit="1" customWidth="1"/>
    <col min="37" max="37" width="18.83203125" bestFit="1" customWidth="1"/>
    <col min="38" max="38" width="21.6640625" bestFit="1" customWidth="1"/>
    <col min="39" max="39" width="23.1640625" bestFit="1" customWidth="1"/>
    <col min="40" max="40" width="24.33203125" bestFit="1" customWidth="1"/>
  </cols>
  <sheetData>
    <row r="1" spans="1:40">
      <c r="A1" s="1" t="s">
        <v>466</v>
      </c>
      <c r="B1" s="1" t="s">
        <v>467</v>
      </c>
      <c r="C1" s="9" t="s">
        <v>468</v>
      </c>
      <c r="D1" s="9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9" t="s">
        <v>474</v>
      </c>
      <c r="J1" s="9" t="s">
        <v>475</v>
      </c>
      <c r="K1" s="1" t="s">
        <v>476</v>
      </c>
      <c r="L1" s="1" t="s">
        <v>477</v>
      </c>
      <c r="M1" s="9" t="s">
        <v>478</v>
      </c>
      <c r="N1" s="9" t="s">
        <v>479</v>
      </c>
      <c r="O1" s="1" t="s">
        <v>480</v>
      </c>
      <c r="P1" s="1" t="s">
        <v>481</v>
      </c>
      <c r="Q1" s="1" t="s">
        <v>482</v>
      </c>
      <c r="R1" s="1" t="s">
        <v>483</v>
      </c>
      <c r="S1" s="9" t="s">
        <v>484</v>
      </c>
      <c r="T1" s="9" t="s">
        <v>485</v>
      </c>
      <c r="U1" s="9" t="s">
        <v>486</v>
      </c>
      <c r="V1" s="9" t="s">
        <v>487</v>
      </c>
      <c r="W1" s="9" t="s">
        <v>488</v>
      </c>
      <c r="X1" s="9" t="s">
        <v>489</v>
      </c>
      <c r="Y1" s="1" t="s">
        <v>490</v>
      </c>
      <c r="Z1" s="1" t="s">
        <v>491</v>
      </c>
      <c r="AA1" s="1" t="s">
        <v>492</v>
      </c>
      <c r="AB1" s="1" t="s">
        <v>493</v>
      </c>
      <c r="AC1" s="9" t="s">
        <v>494</v>
      </c>
      <c r="AD1" s="9" t="s">
        <v>495</v>
      </c>
      <c r="AE1" s="1" t="s">
        <v>496</v>
      </c>
      <c r="AF1" s="1" t="s">
        <v>497</v>
      </c>
      <c r="AG1" s="9" t="s">
        <v>498</v>
      </c>
      <c r="AH1" s="9" t="s">
        <v>499</v>
      </c>
      <c r="AI1" s="1" t="s">
        <v>500</v>
      </c>
      <c r="AJ1" s="1" t="s">
        <v>501</v>
      </c>
      <c r="AK1" s="1" t="s">
        <v>502</v>
      </c>
      <c r="AL1" s="1" t="s">
        <v>503</v>
      </c>
      <c r="AM1" s="9" t="s">
        <v>504</v>
      </c>
      <c r="AN1" s="9" t="s">
        <v>505</v>
      </c>
    </row>
    <row r="2" spans="1:40">
      <c r="A2" t="s">
        <v>506</v>
      </c>
      <c r="B2" t="s">
        <v>507</v>
      </c>
      <c r="C2" s="3">
        <v>1</v>
      </c>
      <c r="D2" s="3">
        <v>1</v>
      </c>
      <c r="E2">
        <v>1.8</v>
      </c>
      <c r="F2" t="s">
        <v>471</v>
      </c>
      <c r="G2" s="4">
        <v>26.052499999999998</v>
      </c>
      <c r="H2" s="4">
        <v>35.054494079655541</v>
      </c>
      <c r="I2" s="5">
        <v>0.74319999999999997</v>
      </c>
      <c r="J2" s="6">
        <v>1</v>
      </c>
      <c r="K2" s="7">
        <v>3980.5</v>
      </c>
      <c r="L2" s="7">
        <v>4779.8469999999998</v>
      </c>
      <c r="M2" s="5">
        <v>0.83276700000000003</v>
      </c>
      <c r="N2" s="6">
        <v>2</v>
      </c>
      <c r="O2" s="7">
        <v>6251</v>
      </c>
      <c r="P2" s="7">
        <v>37679</v>
      </c>
      <c r="Q2" s="5">
        <v>0.16590143050505587</v>
      </c>
      <c r="R2" s="5">
        <v>0.23808567351553767</v>
      </c>
      <c r="S2" s="5">
        <v>0.69681400000000004</v>
      </c>
      <c r="T2" s="6">
        <v>4</v>
      </c>
      <c r="U2" s="5">
        <v>1.1802999999999999</v>
      </c>
      <c r="V2" s="6">
        <v>2</v>
      </c>
      <c r="W2" s="7">
        <v>9.0358000000000001</v>
      </c>
      <c r="X2" s="6">
        <v>1</v>
      </c>
      <c r="Y2" s="7">
        <v>623</v>
      </c>
      <c r="Z2" s="7">
        <v>5215</v>
      </c>
      <c r="AA2" s="5">
        <v>0.11946308724832215</v>
      </c>
      <c r="AB2" s="5">
        <v>0.1</v>
      </c>
      <c r="AC2" s="5">
        <v>1.1946300000000001</v>
      </c>
      <c r="AD2" s="6">
        <v>1</v>
      </c>
      <c r="AE2" s="5">
        <v>0.3182706666666667</v>
      </c>
      <c r="AF2" s="5">
        <v>0.4</v>
      </c>
      <c r="AG2" s="5">
        <v>0.79567500000000002</v>
      </c>
      <c r="AH2" s="6">
        <v>2</v>
      </c>
      <c r="AI2" s="7">
        <v>871</v>
      </c>
      <c r="AJ2" s="7">
        <v>1127</v>
      </c>
      <c r="AK2" s="5">
        <v>0.77284826974267973</v>
      </c>
      <c r="AL2" s="5">
        <v>0.8</v>
      </c>
      <c r="AM2" s="5">
        <v>0.96606000000000003</v>
      </c>
      <c r="AN2" s="6">
        <v>1</v>
      </c>
    </row>
    <row r="3" spans="1:40">
      <c r="A3" t="s">
        <v>506</v>
      </c>
      <c r="B3" t="s">
        <v>508</v>
      </c>
      <c r="C3" s="3">
        <v>2</v>
      </c>
      <c r="D3" s="3">
        <v>2</v>
      </c>
      <c r="E3">
        <v>2.1</v>
      </c>
      <c r="F3" t="s">
        <v>471</v>
      </c>
      <c r="G3" s="4">
        <v>23.1172</v>
      </c>
      <c r="H3" s="4">
        <v>32.720736022646854</v>
      </c>
      <c r="I3" s="5">
        <v>0.70650000000000002</v>
      </c>
      <c r="J3" s="6">
        <v>2</v>
      </c>
      <c r="K3" s="7">
        <v>2712</v>
      </c>
      <c r="L3" s="7">
        <v>3366.6439999999998</v>
      </c>
      <c r="M3" s="5">
        <v>0.80554999999999999</v>
      </c>
      <c r="N3" s="6">
        <v>4</v>
      </c>
      <c r="O3" s="7">
        <v>4330</v>
      </c>
      <c r="P3" s="7">
        <v>23794</v>
      </c>
      <c r="Q3" s="5">
        <v>0.18197865007985206</v>
      </c>
      <c r="R3" s="5">
        <v>0.24000106836725005</v>
      </c>
      <c r="S3" s="5">
        <v>0.75824100000000005</v>
      </c>
      <c r="T3" s="6">
        <v>2</v>
      </c>
      <c r="U3" s="5">
        <v>1.3121</v>
      </c>
      <c r="V3" s="6">
        <v>1</v>
      </c>
      <c r="W3" s="7">
        <v>8.9471000000000007</v>
      </c>
      <c r="X3" s="6">
        <v>2</v>
      </c>
      <c r="Y3" s="7">
        <v>300</v>
      </c>
      <c r="Z3" s="7">
        <v>3399</v>
      </c>
      <c r="AA3" s="5">
        <v>8.8261253309797005E-2</v>
      </c>
      <c r="AB3" s="5">
        <v>0.1</v>
      </c>
      <c r="AC3" s="5">
        <v>0.88261000000000001</v>
      </c>
      <c r="AD3" s="6">
        <v>2</v>
      </c>
      <c r="AE3" s="5">
        <v>0.33855033333333329</v>
      </c>
      <c r="AF3" s="5">
        <v>0.4</v>
      </c>
      <c r="AG3" s="5">
        <v>0.84637499999999999</v>
      </c>
      <c r="AH3" s="6">
        <v>1</v>
      </c>
      <c r="AI3" s="7">
        <v>632</v>
      </c>
      <c r="AJ3" s="7">
        <v>827</v>
      </c>
      <c r="AK3" s="5">
        <v>0.76420798065296247</v>
      </c>
      <c r="AL3" s="5">
        <v>0.8</v>
      </c>
      <c r="AM3" s="5">
        <v>0.95525800000000005</v>
      </c>
      <c r="AN3" s="6">
        <v>2</v>
      </c>
    </row>
    <row r="4" spans="1:40">
      <c r="A4" t="s">
        <v>506</v>
      </c>
      <c r="B4" t="s">
        <v>509</v>
      </c>
      <c r="C4" s="3">
        <v>3</v>
      </c>
      <c r="D4" s="3">
        <v>3</v>
      </c>
      <c r="E4">
        <v>2.7</v>
      </c>
      <c r="F4" t="s">
        <v>471</v>
      </c>
      <c r="G4" s="4">
        <v>23.728300000000001</v>
      </c>
      <c r="H4" s="4">
        <v>37.011854624863517</v>
      </c>
      <c r="I4" s="5">
        <v>0.6411</v>
      </c>
      <c r="J4" s="6">
        <v>3</v>
      </c>
      <c r="K4" s="7">
        <v>4253.5</v>
      </c>
      <c r="L4" s="7">
        <v>4954.2120000000004</v>
      </c>
      <c r="M4" s="5">
        <v>0.85856200000000005</v>
      </c>
      <c r="N4" s="6">
        <v>1</v>
      </c>
      <c r="O4" s="7">
        <v>7050</v>
      </c>
      <c r="P4" s="7">
        <v>41730</v>
      </c>
      <c r="Q4" s="5">
        <v>0.1689432063263839</v>
      </c>
      <c r="R4" s="5">
        <v>0.23936142169879615</v>
      </c>
      <c r="S4" s="5">
        <v>0.70580799999999999</v>
      </c>
      <c r="T4" s="6">
        <v>3</v>
      </c>
      <c r="U4" s="5">
        <v>1.1652</v>
      </c>
      <c r="V4" s="6">
        <v>3</v>
      </c>
      <c r="W4" s="7">
        <v>8.9466999999999999</v>
      </c>
      <c r="X4" s="6">
        <v>3</v>
      </c>
      <c r="Y4" s="7">
        <v>429</v>
      </c>
      <c r="Z4" s="7">
        <v>5424</v>
      </c>
      <c r="AA4" s="5">
        <v>7.9092920353982299E-2</v>
      </c>
      <c r="AB4" s="5">
        <v>0.1</v>
      </c>
      <c r="AC4" s="5">
        <v>0.79091999999999996</v>
      </c>
      <c r="AD4" s="6">
        <v>3</v>
      </c>
      <c r="AE4" s="5">
        <v>0.29267266666666669</v>
      </c>
      <c r="AF4" s="5">
        <v>0.4</v>
      </c>
      <c r="AG4" s="5">
        <v>0.73168</v>
      </c>
      <c r="AH4" s="6">
        <v>3</v>
      </c>
      <c r="AI4" s="7">
        <v>792</v>
      </c>
      <c r="AJ4" s="7">
        <v>1105</v>
      </c>
      <c r="AK4" s="5">
        <v>0.71674208144796381</v>
      </c>
      <c r="AL4" s="5">
        <v>0.8</v>
      </c>
      <c r="AM4" s="5">
        <v>0.89592700000000003</v>
      </c>
      <c r="AN4" s="6">
        <v>3</v>
      </c>
    </row>
    <row r="5" spans="1:40">
      <c r="A5" t="s">
        <v>506</v>
      </c>
      <c r="B5" t="s">
        <v>510</v>
      </c>
      <c r="C5" s="3">
        <v>4</v>
      </c>
      <c r="D5" s="3">
        <v>4</v>
      </c>
      <c r="E5">
        <v>3.4</v>
      </c>
      <c r="F5" t="s">
        <v>471</v>
      </c>
      <c r="G5" s="4">
        <v>18.616099999999999</v>
      </c>
      <c r="H5" s="4">
        <v>37.180147793089674</v>
      </c>
      <c r="I5" s="5">
        <v>0.50070000000000003</v>
      </c>
      <c r="J5" s="6">
        <v>4</v>
      </c>
      <c r="K5" s="7">
        <v>4075</v>
      </c>
      <c r="L5" s="7">
        <v>5055.4170000000004</v>
      </c>
      <c r="M5" s="5">
        <v>0.80606599999999995</v>
      </c>
      <c r="N5" s="6">
        <v>3</v>
      </c>
      <c r="O5" s="7">
        <v>6809</v>
      </c>
      <c r="P5" s="7">
        <v>33813</v>
      </c>
      <c r="Q5" s="5">
        <v>0.20137225327536745</v>
      </c>
      <c r="R5" s="5">
        <v>0.23714232770115415</v>
      </c>
      <c r="S5" s="5">
        <v>0.84916199999999997</v>
      </c>
      <c r="T5" s="6">
        <v>1</v>
      </c>
      <c r="U5" s="5">
        <v>1.1143000000000001</v>
      </c>
      <c r="V5" s="6">
        <v>4</v>
      </c>
      <c r="W5" s="7">
        <v>8.8888999999999996</v>
      </c>
      <c r="X5" s="6">
        <v>4</v>
      </c>
      <c r="Y5" s="7">
        <v>352</v>
      </c>
      <c r="Z5" s="7">
        <v>5009</v>
      </c>
      <c r="AA5" s="5">
        <v>7.0273507686164902E-2</v>
      </c>
      <c r="AB5" s="5">
        <v>0.1</v>
      </c>
      <c r="AC5" s="5">
        <v>0.70272999999999997</v>
      </c>
      <c r="AD5" s="6">
        <v>4</v>
      </c>
      <c r="AE5" s="5">
        <v>0.27996433333333332</v>
      </c>
      <c r="AF5" s="5">
        <v>0.4</v>
      </c>
      <c r="AG5" s="5">
        <v>0.69991000000000003</v>
      </c>
      <c r="AH5" s="6">
        <v>4</v>
      </c>
      <c r="AI5" s="7">
        <v>823</v>
      </c>
      <c r="AJ5" s="7">
        <v>1182</v>
      </c>
      <c r="AK5" s="5">
        <v>0.69627749576988152</v>
      </c>
      <c r="AL5" s="5">
        <v>0.8</v>
      </c>
      <c r="AM5" s="5">
        <v>0.87034599999999995</v>
      </c>
      <c r="AN5" s="6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0988-BC46-EB4E-A497-EFC832F45DD2}">
  <dimension ref="A1:AN10"/>
  <sheetViews>
    <sheetView workbookViewId="0">
      <selection sqref="A1:AN10"/>
    </sheetView>
  </sheetViews>
  <sheetFormatPr baseColWidth="10" defaultRowHeight="16"/>
  <cols>
    <col min="1" max="1" width="8.83203125" bestFit="1" customWidth="1"/>
    <col min="2" max="2" width="13.5" bestFit="1" customWidth="1"/>
    <col min="3" max="3" width="17.33203125" bestFit="1" customWidth="1"/>
    <col min="4" max="4" width="14" bestFit="1" customWidth="1"/>
    <col min="5" max="5" width="14.5" bestFit="1" customWidth="1"/>
    <col min="6" max="6" width="4.6640625" bestFit="1" customWidth="1"/>
    <col min="7" max="7" width="24.6640625" bestFit="1" customWidth="1"/>
    <col min="8" max="8" width="21.6640625" bestFit="1" customWidth="1"/>
    <col min="9" max="9" width="23.1640625" bestFit="1" customWidth="1"/>
    <col min="10" max="10" width="23.33203125" bestFit="1" customWidth="1"/>
    <col min="11" max="11" width="10.1640625" bestFit="1" customWidth="1"/>
    <col min="12" max="12" width="12" bestFit="1" customWidth="1"/>
    <col min="13" max="13" width="13.5" bestFit="1" customWidth="1"/>
    <col min="14" max="14" width="19.1640625" bestFit="1" customWidth="1"/>
    <col min="15" max="15" width="13.6640625" bestFit="1" customWidth="1"/>
    <col min="16" max="16" width="14" bestFit="1" customWidth="1"/>
    <col min="17" max="17" width="12.6640625" bestFit="1" customWidth="1"/>
    <col min="18" max="18" width="18.1640625" bestFit="1" customWidth="1"/>
    <col min="19" max="19" width="17.1640625" bestFit="1" customWidth="1"/>
    <col min="20" max="20" width="17.33203125" bestFit="1" customWidth="1"/>
    <col min="21" max="21" width="18.5" bestFit="1" customWidth="1"/>
    <col min="22" max="22" width="17.33203125" bestFit="1" customWidth="1"/>
    <col min="23" max="23" width="13.6640625" bestFit="1" customWidth="1"/>
    <col min="24" max="24" width="12.5" bestFit="1" customWidth="1"/>
    <col min="25" max="25" width="18.1640625" bestFit="1" customWidth="1"/>
    <col min="26" max="26" width="24.33203125" bestFit="1" customWidth="1"/>
    <col min="27" max="27" width="17.83203125" bestFit="1" customWidth="1"/>
    <col min="28" max="28" width="20.83203125" bestFit="1" customWidth="1"/>
    <col min="29" max="29" width="21.6640625" bestFit="1" customWidth="1"/>
    <col min="30" max="30" width="22.5" bestFit="1" customWidth="1"/>
    <col min="31" max="31" width="24.83203125" bestFit="1" customWidth="1"/>
    <col min="32" max="32" width="20.83203125" bestFit="1" customWidth="1"/>
    <col min="33" max="33" width="22.33203125" bestFit="1" customWidth="1"/>
    <col min="34" max="34" width="22.5" bestFit="1" customWidth="1"/>
    <col min="35" max="35" width="16.1640625" bestFit="1" customWidth="1"/>
    <col min="36" max="36" width="12.1640625" bestFit="1" customWidth="1"/>
    <col min="37" max="37" width="18.83203125" bestFit="1" customWidth="1"/>
    <col min="38" max="38" width="21.6640625" bestFit="1" customWidth="1"/>
    <col min="39" max="39" width="23.1640625" bestFit="1" customWidth="1"/>
    <col min="40" max="40" width="24.33203125" bestFit="1" customWidth="1"/>
  </cols>
  <sheetData>
    <row r="1" spans="1:40">
      <c r="A1" s="1" t="s">
        <v>466</v>
      </c>
      <c r="B1" s="1" t="s">
        <v>511</v>
      </c>
      <c r="C1" s="9" t="s">
        <v>468</v>
      </c>
      <c r="D1" s="9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9" t="s">
        <v>474</v>
      </c>
      <c r="J1" s="9" t="s">
        <v>475</v>
      </c>
      <c r="K1" s="1" t="s">
        <v>476</v>
      </c>
      <c r="L1" s="1" t="s">
        <v>477</v>
      </c>
      <c r="M1" s="9" t="s">
        <v>478</v>
      </c>
      <c r="N1" s="9" t="s">
        <v>479</v>
      </c>
      <c r="O1" s="1" t="s">
        <v>480</v>
      </c>
      <c r="P1" s="1" t="s">
        <v>481</v>
      </c>
      <c r="Q1" s="1" t="s">
        <v>482</v>
      </c>
      <c r="R1" s="1" t="s">
        <v>483</v>
      </c>
      <c r="S1" s="9" t="s">
        <v>484</v>
      </c>
      <c r="T1" s="9" t="s">
        <v>485</v>
      </c>
      <c r="U1" s="9" t="s">
        <v>486</v>
      </c>
      <c r="V1" s="9" t="s">
        <v>487</v>
      </c>
      <c r="W1" s="9" t="s">
        <v>488</v>
      </c>
      <c r="X1" s="9" t="s">
        <v>489</v>
      </c>
      <c r="Y1" s="1" t="s">
        <v>490</v>
      </c>
      <c r="Z1" s="1" t="s">
        <v>491</v>
      </c>
      <c r="AA1" s="1" t="s">
        <v>492</v>
      </c>
      <c r="AB1" s="1" t="s">
        <v>493</v>
      </c>
      <c r="AC1" s="9" t="s">
        <v>494</v>
      </c>
      <c r="AD1" s="9" t="s">
        <v>495</v>
      </c>
      <c r="AE1" s="1" t="s">
        <v>496</v>
      </c>
      <c r="AF1" s="1" t="s">
        <v>497</v>
      </c>
      <c r="AG1" s="9" t="s">
        <v>498</v>
      </c>
      <c r="AH1" s="9" t="s">
        <v>499</v>
      </c>
      <c r="AI1" s="1" t="s">
        <v>500</v>
      </c>
      <c r="AJ1" s="1" t="s">
        <v>501</v>
      </c>
      <c r="AK1" s="1" t="s">
        <v>502</v>
      </c>
      <c r="AL1" s="1" t="s">
        <v>503</v>
      </c>
      <c r="AM1" s="9" t="s">
        <v>504</v>
      </c>
      <c r="AN1" s="9" t="s">
        <v>505</v>
      </c>
    </row>
    <row r="2" spans="1:40">
      <c r="A2" t="s">
        <v>506</v>
      </c>
      <c r="B2" t="s">
        <v>188</v>
      </c>
      <c r="C2" s="3">
        <v>1</v>
      </c>
      <c r="D2" s="3">
        <v>4</v>
      </c>
      <c r="E2">
        <v>11.25</v>
      </c>
      <c r="F2" t="s">
        <v>471</v>
      </c>
      <c r="G2" s="4">
        <v>32.077500000000001</v>
      </c>
      <c r="H2" s="4">
        <v>39.228934817170114</v>
      </c>
      <c r="I2" s="5">
        <v>0.81769999999999998</v>
      </c>
      <c r="J2" s="6">
        <v>8</v>
      </c>
      <c r="K2" s="7">
        <v>901</v>
      </c>
      <c r="L2" s="7">
        <v>851.72</v>
      </c>
      <c r="M2" s="5">
        <v>1.0578590000000001</v>
      </c>
      <c r="N2" s="6">
        <v>2</v>
      </c>
      <c r="O2" s="7">
        <v>1325</v>
      </c>
      <c r="P2" s="7">
        <v>6856</v>
      </c>
      <c r="Q2" s="5">
        <v>0.19326137689614936</v>
      </c>
      <c r="R2" s="5">
        <v>0.2400005177200602</v>
      </c>
      <c r="S2" s="5">
        <v>0.80525400000000003</v>
      </c>
      <c r="T2" s="6">
        <v>8</v>
      </c>
      <c r="U2" s="5">
        <v>1.3935</v>
      </c>
      <c r="V2" s="6">
        <v>8</v>
      </c>
      <c r="W2" s="7">
        <v>8.4285999999999994</v>
      </c>
      <c r="X2" s="6">
        <v>34</v>
      </c>
      <c r="Y2" s="7">
        <v>108</v>
      </c>
      <c r="Z2" s="7">
        <v>847</v>
      </c>
      <c r="AA2" s="5">
        <v>0.12750885478158205</v>
      </c>
      <c r="AB2" s="5">
        <v>0.1</v>
      </c>
      <c r="AC2" s="5">
        <v>1.27508</v>
      </c>
      <c r="AD2" s="6">
        <v>7</v>
      </c>
      <c r="AE2" s="5">
        <v>0.31675833333333331</v>
      </c>
      <c r="AF2" s="5">
        <v>0.4</v>
      </c>
      <c r="AG2" s="5">
        <v>0.79189500000000002</v>
      </c>
      <c r="AH2" s="6">
        <v>16</v>
      </c>
      <c r="AI2" s="7">
        <v>114</v>
      </c>
      <c r="AJ2" s="7">
        <v>154</v>
      </c>
      <c r="AK2" s="5">
        <v>0.74025974025974028</v>
      </c>
      <c r="AL2" s="5">
        <v>0.8</v>
      </c>
      <c r="AM2" s="5">
        <v>0.92532300000000001</v>
      </c>
      <c r="AN2" s="6">
        <v>17</v>
      </c>
    </row>
    <row r="3" spans="1:40">
      <c r="A3" t="s">
        <v>506</v>
      </c>
      <c r="B3" t="s">
        <v>512</v>
      </c>
      <c r="C3" s="3">
        <v>3</v>
      </c>
      <c r="D3" s="3">
        <v>15</v>
      </c>
      <c r="E3">
        <v>16.649999999999999</v>
      </c>
      <c r="F3" t="s">
        <v>471</v>
      </c>
      <c r="G3" s="4">
        <v>21.355599999999999</v>
      </c>
      <c r="H3" s="4">
        <v>35.386246893123442</v>
      </c>
      <c r="I3" s="5">
        <v>0.60350000000000004</v>
      </c>
      <c r="J3" s="6">
        <v>23</v>
      </c>
      <c r="K3" s="7">
        <v>452</v>
      </c>
      <c r="L3" s="7">
        <v>528.58199999999999</v>
      </c>
      <c r="M3" s="5">
        <v>0.85511800000000004</v>
      </c>
      <c r="N3" s="6">
        <v>15</v>
      </c>
      <c r="O3" s="7">
        <v>845</v>
      </c>
      <c r="P3" s="7">
        <v>4711</v>
      </c>
      <c r="Q3" s="5">
        <v>0.17936743791127149</v>
      </c>
      <c r="R3" s="5">
        <v>0.24000074650741074</v>
      </c>
      <c r="S3" s="5">
        <v>0.74736199999999997</v>
      </c>
      <c r="T3" s="6">
        <v>19</v>
      </c>
      <c r="U3" s="5">
        <v>1.2311000000000001</v>
      </c>
      <c r="V3" s="6">
        <v>17</v>
      </c>
      <c r="W3" s="7">
        <v>9.2308000000000003</v>
      </c>
      <c r="X3" s="6">
        <v>9</v>
      </c>
      <c r="Y3" s="7">
        <v>53</v>
      </c>
      <c r="Z3" s="7">
        <v>650</v>
      </c>
      <c r="AA3" s="5">
        <v>8.1538461538461532E-2</v>
      </c>
      <c r="AB3" s="5">
        <v>0.1</v>
      </c>
      <c r="AC3" s="5">
        <v>0.81537999999999999</v>
      </c>
      <c r="AD3" s="6">
        <v>18</v>
      </c>
      <c r="AE3" s="5">
        <v>0.31231999999999999</v>
      </c>
      <c r="AF3" s="5">
        <v>0.4</v>
      </c>
      <c r="AG3" s="5">
        <v>0.78080000000000005</v>
      </c>
      <c r="AH3" s="6">
        <v>18</v>
      </c>
      <c r="AI3" s="7">
        <v>143</v>
      </c>
      <c r="AJ3" s="7">
        <v>175</v>
      </c>
      <c r="AK3" s="5">
        <v>0.81714285714285717</v>
      </c>
      <c r="AL3" s="5">
        <v>0.8</v>
      </c>
      <c r="AM3" s="5">
        <v>1.0214270000000001</v>
      </c>
      <c r="AN3" s="6">
        <v>10</v>
      </c>
    </row>
    <row r="4" spans="1:40">
      <c r="A4" t="s">
        <v>506</v>
      </c>
      <c r="B4" t="s">
        <v>255</v>
      </c>
      <c r="C4" s="3">
        <v>3</v>
      </c>
      <c r="D4" s="3">
        <v>18</v>
      </c>
      <c r="E4">
        <v>18.850000000000001</v>
      </c>
      <c r="F4" t="s">
        <v>471</v>
      </c>
      <c r="G4" s="4">
        <v>33.777999999999999</v>
      </c>
      <c r="H4" s="4">
        <v>35.834924676426901</v>
      </c>
      <c r="I4" s="5">
        <v>0.94259999999999999</v>
      </c>
      <c r="J4" s="6">
        <v>4</v>
      </c>
      <c r="K4" s="7">
        <v>527</v>
      </c>
      <c r="L4" s="7">
        <v>534.39099999999996</v>
      </c>
      <c r="M4" s="5">
        <v>0.98616899999999996</v>
      </c>
      <c r="N4" s="6">
        <v>5</v>
      </c>
      <c r="O4" s="7">
        <v>921</v>
      </c>
      <c r="P4" s="7">
        <v>6460</v>
      </c>
      <c r="Q4" s="5">
        <v>0.14256965944272446</v>
      </c>
      <c r="R4" s="5">
        <v>0.24000131211140796</v>
      </c>
      <c r="S4" s="5">
        <v>0.59403700000000004</v>
      </c>
      <c r="T4" s="6">
        <v>35</v>
      </c>
      <c r="U4" s="5">
        <v>1.2345999999999999</v>
      </c>
      <c r="V4" s="6">
        <v>15</v>
      </c>
      <c r="W4" s="7">
        <v>8.8519000000000005</v>
      </c>
      <c r="X4" s="6">
        <v>25</v>
      </c>
      <c r="Y4" s="7">
        <v>43</v>
      </c>
      <c r="Z4" s="7">
        <v>639</v>
      </c>
      <c r="AA4" s="5">
        <v>6.729264475743349E-2</v>
      </c>
      <c r="AB4" s="5">
        <v>0.1</v>
      </c>
      <c r="AC4" s="5">
        <v>0.67291999999999996</v>
      </c>
      <c r="AD4" s="6">
        <v>23</v>
      </c>
      <c r="AE4" s="5">
        <v>0.22334566666666669</v>
      </c>
      <c r="AF4" s="5">
        <v>0.4</v>
      </c>
      <c r="AG4" s="5">
        <v>0.55836200000000002</v>
      </c>
      <c r="AH4" s="6">
        <v>34</v>
      </c>
      <c r="AI4" s="7">
        <v>82</v>
      </c>
      <c r="AJ4" s="7">
        <v>107</v>
      </c>
      <c r="AK4" s="5">
        <v>0.76635514018691586</v>
      </c>
      <c r="AL4" s="5">
        <v>0.8</v>
      </c>
      <c r="AM4" s="5">
        <v>0.95794299999999999</v>
      </c>
      <c r="AN4" s="6">
        <v>14</v>
      </c>
    </row>
    <row r="5" spans="1:40">
      <c r="A5" t="s">
        <v>506</v>
      </c>
      <c r="B5" t="s">
        <v>513</v>
      </c>
      <c r="C5" s="3">
        <v>3</v>
      </c>
      <c r="D5" s="3">
        <v>20</v>
      </c>
      <c r="E5">
        <v>19.850000000000001</v>
      </c>
      <c r="F5" t="s">
        <v>471</v>
      </c>
      <c r="G5" s="4">
        <v>16.611799999999999</v>
      </c>
      <c r="H5" s="4">
        <v>37.995882891125341</v>
      </c>
      <c r="I5" s="5">
        <v>0.43719999999999998</v>
      </c>
      <c r="J5" s="6">
        <v>32</v>
      </c>
      <c r="K5" s="7">
        <v>486.5</v>
      </c>
      <c r="L5" s="7">
        <v>584.37699999999995</v>
      </c>
      <c r="M5" s="5">
        <v>0.832511</v>
      </c>
      <c r="N5" s="6">
        <v>17</v>
      </c>
      <c r="O5" s="7">
        <v>817</v>
      </c>
      <c r="P5" s="7">
        <v>4585</v>
      </c>
      <c r="Q5" s="5">
        <v>0.17818974918211558</v>
      </c>
      <c r="R5" s="5">
        <v>0.23400112303640566</v>
      </c>
      <c r="S5" s="5">
        <v>0.76149100000000003</v>
      </c>
      <c r="T5" s="6">
        <v>17</v>
      </c>
      <c r="U5" s="5">
        <v>1.179</v>
      </c>
      <c r="V5" s="6">
        <v>19</v>
      </c>
      <c r="W5" s="7">
        <v>9.4382000000000001</v>
      </c>
      <c r="X5" s="6">
        <v>3</v>
      </c>
      <c r="Y5" s="7">
        <v>36</v>
      </c>
      <c r="Z5" s="7">
        <v>415</v>
      </c>
      <c r="AA5" s="5">
        <v>8.6746987951807228E-2</v>
      </c>
      <c r="AB5" s="5">
        <v>0.1</v>
      </c>
      <c r="AC5" s="5">
        <v>0.86746000000000001</v>
      </c>
      <c r="AD5" s="6">
        <v>17</v>
      </c>
      <c r="AE5" s="5">
        <v>0.3046753333333333</v>
      </c>
      <c r="AF5" s="5">
        <v>0.4</v>
      </c>
      <c r="AG5" s="5">
        <v>0.761687</v>
      </c>
      <c r="AH5" s="6">
        <v>20</v>
      </c>
      <c r="AI5" s="7">
        <v>111</v>
      </c>
      <c r="AJ5" s="7">
        <v>173</v>
      </c>
      <c r="AK5" s="5">
        <v>0.64161849710982655</v>
      </c>
      <c r="AL5" s="5">
        <v>0.8</v>
      </c>
      <c r="AM5" s="5">
        <v>0.80202200000000001</v>
      </c>
      <c r="AN5" s="6">
        <v>32</v>
      </c>
    </row>
    <row r="6" spans="1:40">
      <c r="A6" t="s">
        <v>506</v>
      </c>
      <c r="B6" t="s">
        <v>514</v>
      </c>
      <c r="C6" s="3">
        <v>3</v>
      </c>
      <c r="D6" s="3">
        <v>21</v>
      </c>
      <c r="E6">
        <v>20.149999999999999</v>
      </c>
      <c r="F6" t="s">
        <v>471</v>
      </c>
      <c r="G6" s="4">
        <v>22.189299999999999</v>
      </c>
      <c r="H6" s="4">
        <v>37.859239037706878</v>
      </c>
      <c r="I6" s="5">
        <v>0.58609999999999995</v>
      </c>
      <c r="J6" s="6">
        <v>24</v>
      </c>
      <c r="K6" s="7">
        <v>256</v>
      </c>
      <c r="L6" s="7">
        <v>334.39600000000002</v>
      </c>
      <c r="M6" s="5">
        <v>0.76555899999999999</v>
      </c>
      <c r="N6" s="6">
        <v>23</v>
      </c>
      <c r="O6" s="7">
        <v>461</v>
      </c>
      <c r="P6" s="7">
        <v>2734</v>
      </c>
      <c r="Q6" s="5">
        <v>0.1686174103877103</v>
      </c>
      <c r="R6" s="5">
        <v>0.24000086879273283</v>
      </c>
      <c r="S6" s="5">
        <v>0.70257000000000003</v>
      </c>
      <c r="T6" s="6">
        <v>25</v>
      </c>
      <c r="U6" s="5">
        <v>1.3873</v>
      </c>
      <c r="V6" s="6">
        <v>9</v>
      </c>
      <c r="W6" s="7">
        <v>9.2972999999999999</v>
      </c>
      <c r="X6" s="6">
        <v>7</v>
      </c>
      <c r="Y6" s="7">
        <v>43</v>
      </c>
      <c r="Z6" s="7">
        <v>406</v>
      </c>
      <c r="AA6" s="5">
        <v>0.10591133004926108</v>
      </c>
      <c r="AB6" s="5">
        <v>0.1</v>
      </c>
      <c r="AC6" s="5">
        <v>1.05911</v>
      </c>
      <c r="AD6" s="6">
        <v>11</v>
      </c>
      <c r="AE6" s="5">
        <v>0.24522166666666667</v>
      </c>
      <c r="AF6" s="5">
        <v>0.4</v>
      </c>
      <c r="AG6" s="5">
        <v>0.61305200000000004</v>
      </c>
      <c r="AH6" s="6">
        <v>30</v>
      </c>
      <c r="AI6" s="7">
        <v>38</v>
      </c>
      <c r="AJ6" s="7">
        <v>59</v>
      </c>
      <c r="AK6" s="5">
        <v>0.64406779661016944</v>
      </c>
      <c r="AL6" s="5">
        <v>0.8</v>
      </c>
      <c r="AM6" s="5">
        <v>0.80508299999999999</v>
      </c>
      <c r="AN6" s="6">
        <v>31</v>
      </c>
    </row>
    <row r="7" spans="1:40">
      <c r="A7" t="s">
        <v>506</v>
      </c>
      <c r="B7" t="s">
        <v>515</v>
      </c>
      <c r="C7" s="3">
        <v>3</v>
      </c>
      <c r="D7" s="3">
        <v>22</v>
      </c>
      <c r="E7">
        <v>21</v>
      </c>
      <c r="F7" t="s">
        <v>471</v>
      </c>
      <c r="G7" s="4">
        <v>40.157600000000002</v>
      </c>
      <c r="H7" s="4">
        <v>36.427431059506532</v>
      </c>
      <c r="I7" s="5">
        <v>1.1024</v>
      </c>
      <c r="J7" s="6">
        <v>2</v>
      </c>
      <c r="K7" s="7">
        <v>259</v>
      </c>
      <c r="L7" s="7">
        <v>353.608</v>
      </c>
      <c r="M7" s="5">
        <v>0.73244900000000002</v>
      </c>
      <c r="N7" s="6">
        <v>26</v>
      </c>
      <c r="O7" s="7">
        <v>445</v>
      </c>
      <c r="P7" s="7">
        <v>2743</v>
      </c>
      <c r="Q7" s="5">
        <v>0.16223113379511483</v>
      </c>
      <c r="R7" s="5">
        <v>0.24000037545766603</v>
      </c>
      <c r="S7" s="5">
        <v>0.67596199999999995</v>
      </c>
      <c r="T7" s="6">
        <v>28</v>
      </c>
      <c r="U7" s="5">
        <v>1.0752999999999999</v>
      </c>
      <c r="V7" s="6">
        <v>25</v>
      </c>
      <c r="W7" s="7">
        <v>8.4443999999999999</v>
      </c>
      <c r="X7" s="6">
        <v>33</v>
      </c>
      <c r="Y7" s="7">
        <v>26</v>
      </c>
      <c r="Z7" s="7">
        <v>378</v>
      </c>
      <c r="AA7" s="5">
        <v>6.8783068783068779E-2</v>
      </c>
      <c r="AB7" s="5">
        <v>0.1</v>
      </c>
      <c r="AC7" s="5">
        <v>0.68783000000000005</v>
      </c>
      <c r="AD7" s="6">
        <v>22</v>
      </c>
      <c r="AE7" s="5">
        <v>0.35524233333333333</v>
      </c>
      <c r="AF7" s="5">
        <v>0.4</v>
      </c>
      <c r="AG7" s="5">
        <v>0.88810500000000003</v>
      </c>
      <c r="AH7" s="6">
        <v>11</v>
      </c>
      <c r="AI7" s="7">
        <v>68</v>
      </c>
      <c r="AJ7" s="7">
        <v>97</v>
      </c>
      <c r="AK7" s="5">
        <v>0.7010309278350515</v>
      </c>
      <c r="AL7" s="5">
        <v>0.8</v>
      </c>
      <c r="AM7" s="5">
        <v>0.87628700000000004</v>
      </c>
      <c r="AN7" s="6">
        <v>24</v>
      </c>
    </row>
    <row r="8" spans="1:40">
      <c r="A8" t="s">
        <v>506</v>
      </c>
      <c r="B8" t="s">
        <v>516</v>
      </c>
      <c r="C8" s="3">
        <v>4</v>
      </c>
      <c r="D8" s="3">
        <v>23</v>
      </c>
      <c r="E8">
        <v>21.2</v>
      </c>
      <c r="F8" t="s">
        <v>471</v>
      </c>
      <c r="G8" s="4">
        <v>20.4663</v>
      </c>
      <c r="H8" s="4">
        <v>37.999071667285556</v>
      </c>
      <c r="I8" s="5">
        <v>0.53859999999999997</v>
      </c>
      <c r="J8" s="6">
        <v>27</v>
      </c>
      <c r="K8" s="7">
        <v>686</v>
      </c>
      <c r="L8" s="7">
        <v>721.553</v>
      </c>
      <c r="M8" s="5">
        <v>0.95072699999999999</v>
      </c>
      <c r="N8" s="6">
        <v>8</v>
      </c>
      <c r="O8" s="7">
        <v>1003</v>
      </c>
      <c r="P8" s="7">
        <v>5627</v>
      </c>
      <c r="Q8" s="5">
        <v>0.1782477341389728</v>
      </c>
      <c r="R8" s="5">
        <v>0.24000125776930342</v>
      </c>
      <c r="S8" s="5">
        <v>0.74269499999999999</v>
      </c>
      <c r="T8" s="6">
        <v>20</v>
      </c>
      <c r="U8" s="5">
        <v>1.0023</v>
      </c>
      <c r="V8" s="6">
        <v>30</v>
      </c>
      <c r="W8" s="7">
        <v>8.9619</v>
      </c>
      <c r="X8" s="6">
        <v>19</v>
      </c>
      <c r="Y8" s="7">
        <v>52</v>
      </c>
      <c r="Z8" s="7">
        <v>807</v>
      </c>
      <c r="AA8" s="5">
        <v>6.4436183395291197E-2</v>
      </c>
      <c r="AB8" s="5">
        <v>0.1</v>
      </c>
      <c r="AC8" s="5">
        <v>0.64436000000000004</v>
      </c>
      <c r="AD8" s="6">
        <v>25</v>
      </c>
      <c r="AE8" s="5">
        <v>0.29697899999999999</v>
      </c>
      <c r="AF8" s="5">
        <v>0.4</v>
      </c>
      <c r="AG8" s="5">
        <v>0.74244699999999997</v>
      </c>
      <c r="AH8" s="6">
        <v>21</v>
      </c>
      <c r="AI8" s="7">
        <v>104</v>
      </c>
      <c r="AJ8" s="7">
        <v>146</v>
      </c>
      <c r="AK8" s="5">
        <v>0.71232876712328763</v>
      </c>
      <c r="AL8" s="5">
        <v>0.8</v>
      </c>
      <c r="AM8" s="5">
        <v>0.89041000000000003</v>
      </c>
      <c r="AN8" s="6">
        <v>22</v>
      </c>
    </row>
    <row r="9" spans="1:40">
      <c r="A9" t="s">
        <v>506</v>
      </c>
      <c r="B9" t="s">
        <v>517</v>
      </c>
      <c r="C9" s="3">
        <v>4</v>
      </c>
      <c r="D9" s="3">
        <v>28</v>
      </c>
      <c r="E9">
        <v>23.75</v>
      </c>
      <c r="F9" t="s">
        <v>471</v>
      </c>
      <c r="G9" s="4">
        <v>17.811800000000002</v>
      </c>
      <c r="H9" s="4">
        <v>36.664882667764516</v>
      </c>
      <c r="I9" s="5">
        <v>0.48580000000000001</v>
      </c>
      <c r="J9" s="6">
        <v>30</v>
      </c>
      <c r="K9" s="7">
        <v>351</v>
      </c>
      <c r="L9" s="7">
        <v>470.05700000000002</v>
      </c>
      <c r="M9" s="5">
        <v>0.74671799999999999</v>
      </c>
      <c r="N9" s="6">
        <v>25</v>
      </c>
      <c r="O9" s="7">
        <v>588</v>
      </c>
      <c r="P9" s="7">
        <v>3641</v>
      </c>
      <c r="Q9" s="5">
        <v>0.16149409502883824</v>
      </c>
      <c r="R9" s="5">
        <v>0.24000037900468016</v>
      </c>
      <c r="S9" s="5">
        <v>0.67289100000000002</v>
      </c>
      <c r="T9" s="6">
        <v>29</v>
      </c>
      <c r="U9" s="5">
        <v>1.0496000000000001</v>
      </c>
      <c r="V9" s="6">
        <v>27</v>
      </c>
      <c r="W9" s="7">
        <v>9.2809000000000008</v>
      </c>
      <c r="X9" s="6">
        <v>8</v>
      </c>
      <c r="Y9" s="7">
        <v>50</v>
      </c>
      <c r="Z9" s="7">
        <v>620</v>
      </c>
      <c r="AA9" s="5">
        <v>8.0645161290322578E-2</v>
      </c>
      <c r="AB9" s="5">
        <v>0.1</v>
      </c>
      <c r="AC9" s="5">
        <v>0.80645</v>
      </c>
      <c r="AD9" s="6">
        <v>19</v>
      </c>
      <c r="AE9" s="5">
        <v>0.33751199999999998</v>
      </c>
      <c r="AF9" s="5">
        <v>0.4</v>
      </c>
      <c r="AG9" s="5">
        <v>0.84377999999999997</v>
      </c>
      <c r="AH9" s="6">
        <v>13</v>
      </c>
      <c r="AI9" s="7">
        <v>47</v>
      </c>
      <c r="AJ9" s="7">
        <v>76</v>
      </c>
      <c r="AK9" s="5">
        <v>0.61842105263157898</v>
      </c>
      <c r="AL9" s="5">
        <v>0.8</v>
      </c>
      <c r="AM9" s="5">
        <v>0.77302599999999999</v>
      </c>
      <c r="AN9" s="6">
        <v>35</v>
      </c>
    </row>
    <row r="10" spans="1:40">
      <c r="A10" t="s">
        <v>506</v>
      </c>
      <c r="B10" t="s">
        <v>518</v>
      </c>
      <c r="C10" s="3">
        <v>5</v>
      </c>
      <c r="D10" s="3">
        <v>37</v>
      </c>
      <c r="E10">
        <v>30.7</v>
      </c>
      <c r="F10" t="s">
        <v>471</v>
      </c>
      <c r="G10" s="4">
        <v>11.2826</v>
      </c>
      <c r="H10" s="4">
        <v>36.150592758731179</v>
      </c>
      <c r="I10" s="5">
        <v>0.31209999999999999</v>
      </c>
      <c r="J10" s="6">
        <v>35</v>
      </c>
      <c r="K10" s="7">
        <v>335</v>
      </c>
      <c r="L10" s="7">
        <v>575.52800000000002</v>
      </c>
      <c r="M10" s="5">
        <v>0.58207399999999998</v>
      </c>
      <c r="N10" s="6">
        <v>37</v>
      </c>
      <c r="O10" s="7">
        <v>645</v>
      </c>
      <c r="P10" s="7">
        <v>4373</v>
      </c>
      <c r="Q10" s="5">
        <v>0.14749599817059228</v>
      </c>
      <c r="R10" s="5">
        <v>0.24000181945937477</v>
      </c>
      <c r="S10" s="5">
        <v>0.61456200000000005</v>
      </c>
      <c r="T10" s="6">
        <v>33</v>
      </c>
      <c r="U10" s="5">
        <v>0.93130000000000002</v>
      </c>
      <c r="V10" s="6">
        <v>36</v>
      </c>
      <c r="W10" s="7">
        <v>9.2101000000000006</v>
      </c>
      <c r="X10" s="6">
        <v>11</v>
      </c>
      <c r="Y10" s="7">
        <v>18</v>
      </c>
      <c r="Z10" s="7">
        <v>662</v>
      </c>
      <c r="AA10" s="5">
        <v>2.7190332326283987E-2</v>
      </c>
      <c r="AB10" s="5">
        <v>0.1</v>
      </c>
      <c r="AC10" s="5">
        <v>0.27189999999999998</v>
      </c>
      <c r="AD10" s="6">
        <v>37</v>
      </c>
      <c r="AE10" s="5">
        <v>0.2728916666666667</v>
      </c>
      <c r="AF10" s="5">
        <v>0.4</v>
      </c>
      <c r="AG10" s="5">
        <v>0.68222700000000003</v>
      </c>
      <c r="AH10" s="6">
        <v>27</v>
      </c>
      <c r="AI10" s="7">
        <v>85</v>
      </c>
      <c r="AJ10" s="7">
        <v>118</v>
      </c>
      <c r="AK10" s="5">
        <v>0.72033898305084743</v>
      </c>
      <c r="AL10" s="5">
        <v>0.8</v>
      </c>
      <c r="AM10" s="5">
        <v>0.90042199999999994</v>
      </c>
      <c r="AN10" s="6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F8C9-1226-C648-9F53-F4D9501F3960}">
  <dimension ref="A1:AP94"/>
  <sheetViews>
    <sheetView workbookViewId="0">
      <selection sqref="A1:AP94"/>
    </sheetView>
  </sheetViews>
  <sheetFormatPr baseColWidth="10" defaultRowHeight="16"/>
  <cols>
    <col min="3" max="3" width="11.33203125" bestFit="1" customWidth="1"/>
    <col min="4" max="4" width="22.33203125" bestFit="1" customWidth="1"/>
    <col min="5" max="5" width="19.83203125" bestFit="1" customWidth="1"/>
    <col min="6" max="6" width="16.5" bestFit="1" customWidth="1"/>
    <col min="7" max="7" width="17" bestFit="1" customWidth="1"/>
    <col min="8" max="8" width="7.1640625" bestFit="1" customWidth="1"/>
    <col min="9" max="9" width="27.1640625" bestFit="1" customWidth="1"/>
    <col min="10" max="10" width="24.1640625" bestFit="1" customWidth="1"/>
    <col min="11" max="11" width="25.6640625" bestFit="1" customWidth="1"/>
    <col min="12" max="12" width="25.83203125" bestFit="1" customWidth="1"/>
    <col min="13" max="13" width="12.6640625" bestFit="1" customWidth="1"/>
    <col min="14" max="14" width="14.5" bestFit="1" customWidth="1"/>
    <col min="15" max="15" width="16" bestFit="1" customWidth="1"/>
    <col min="16" max="16" width="21.6640625" bestFit="1" customWidth="1"/>
    <col min="17" max="17" width="16.1640625" bestFit="1" customWidth="1"/>
    <col min="18" max="18" width="16.5" bestFit="1" customWidth="1"/>
    <col min="19" max="19" width="15.1640625" bestFit="1" customWidth="1"/>
    <col min="20" max="20" width="20.6640625" bestFit="1" customWidth="1"/>
    <col min="21" max="21" width="19.6640625" bestFit="1" customWidth="1"/>
    <col min="22" max="22" width="19.83203125" bestFit="1" customWidth="1"/>
    <col min="23" max="23" width="21" bestFit="1" customWidth="1"/>
    <col min="24" max="24" width="19.83203125" bestFit="1" customWidth="1"/>
    <col min="25" max="25" width="16.1640625" bestFit="1" customWidth="1"/>
    <col min="26" max="26" width="15" bestFit="1" customWidth="1"/>
    <col min="27" max="27" width="20.6640625" bestFit="1" customWidth="1"/>
    <col min="28" max="28" width="26.83203125" bestFit="1" customWidth="1"/>
    <col min="29" max="29" width="20.33203125" bestFit="1" customWidth="1"/>
    <col min="30" max="30" width="23.33203125" bestFit="1" customWidth="1"/>
    <col min="31" max="31" width="24.1640625" bestFit="1" customWidth="1"/>
    <col min="32" max="32" width="25" bestFit="1" customWidth="1"/>
    <col min="33" max="33" width="27.33203125" bestFit="1" customWidth="1"/>
    <col min="34" max="34" width="23.33203125" bestFit="1" customWidth="1"/>
    <col min="35" max="35" width="24.83203125" bestFit="1" customWidth="1"/>
    <col min="36" max="36" width="25" bestFit="1" customWidth="1"/>
    <col min="37" max="37" width="18.6640625" bestFit="1" customWidth="1"/>
    <col min="38" max="38" width="14.6640625" bestFit="1" customWidth="1"/>
    <col min="39" max="39" width="21.33203125" bestFit="1" customWidth="1"/>
    <col min="40" max="40" width="24.1640625" bestFit="1" customWidth="1"/>
    <col min="41" max="41" width="25.6640625" bestFit="1" customWidth="1"/>
    <col min="42" max="42" width="26.83203125" bestFit="1" customWidth="1"/>
  </cols>
  <sheetData>
    <row r="1" spans="1:42">
      <c r="A1" s="7" t="s">
        <v>511</v>
      </c>
      <c r="B1" s="7" t="s">
        <v>519</v>
      </c>
      <c r="C1" s="8" t="s">
        <v>466</v>
      </c>
      <c r="D1" s="8" t="s">
        <v>520</v>
      </c>
      <c r="E1" s="11" t="s">
        <v>468</v>
      </c>
      <c r="F1" s="11" t="s">
        <v>469</v>
      </c>
      <c r="G1" s="8" t="s">
        <v>470</v>
      </c>
      <c r="H1" s="8" t="s">
        <v>471</v>
      </c>
      <c r="I1" s="8" t="s">
        <v>472</v>
      </c>
      <c r="J1" s="8" t="s">
        <v>473</v>
      </c>
      <c r="K1" s="11" t="s">
        <v>474</v>
      </c>
      <c r="L1" s="11" t="s">
        <v>475</v>
      </c>
      <c r="M1" s="8" t="s">
        <v>476</v>
      </c>
      <c r="N1" s="8" t="s">
        <v>477</v>
      </c>
      <c r="O1" s="11" t="s">
        <v>478</v>
      </c>
      <c r="P1" s="11" t="s">
        <v>479</v>
      </c>
      <c r="Q1" s="8" t="s">
        <v>480</v>
      </c>
      <c r="R1" s="8" t="s">
        <v>481</v>
      </c>
      <c r="S1" s="8" t="s">
        <v>482</v>
      </c>
      <c r="T1" s="8" t="s">
        <v>483</v>
      </c>
      <c r="U1" s="11" t="s">
        <v>484</v>
      </c>
      <c r="V1" s="11" t="s">
        <v>485</v>
      </c>
      <c r="W1" s="11" t="s">
        <v>486</v>
      </c>
      <c r="X1" s="11" t="s">
        <v>487</v>
      </c>
      <c r="Y1" s="11" t="s">
        <v>488</v>
      </c>
      <c r="Z1" s="11" t="s">
        <v>489</v>
      </c>
      <c r="AA1" s="8" t="s">
        <v>490</v>
      </c>
      <c r="AB1" s="8" t="s">
        <v>491</v>
      </c>
      <c r="AC1" s="8" t="s">
        <v>492</v>
      </c>
      <c r="AD1" s="8" t="s">
        <v>493</v>
      </c>
      <c r="AE1" s="11" t="s">
        <v>494</v>
      </c>
      <c r="AF1" s="11" t="s">
        <v>495</v>
      </c>
      <c r="AG1" s="8" t="s">
        <v>496</v>
      </c>
      <c r="AH1" s="8" t="s">
        <v>497</v>
      </c>
      <c r="AI1" s="11" t="s">
        <v>498</v>
      </c>
      <c r="AJ1" s="11" t="s">
        <v>499</v>
      </c>
      <c r="AK1" s="8" t="s">
        <v>500</v>
      </c>
      <c r="AL1" s="8" t="s">
        <v>501</v>
      </c>
      <c r="AM1" s="8" t="s">
        <v>502</v>
      </c>
      <c r="AN1" s="8" t="s">
        <v>503</v>
      </c>
      <c r="AO1" s="11" t="s">
        <v>504</v>
      </c>
      <c r="AP1" s="11" t="s">
        <v>505</v>
      </c>
    </row>
    <row r="2" spans="1:42">
      <c r="A2" s="10" t="str">
        <f>_xlfn.XLOOKUP(Table1[[#This Row],[SAP]],'Location List'!B:B,'Location List'!G:G)</f>
        <v>MO/IA/NE</v>
      </c>
      <c r="B2" s="10" t="str">
        <f>LEFT(Table1[[#This Row],[Sap: Loaction]],4)</f>
        <v>4ASM</v>
      </c>
      <c r="C2" s="7" t="s">
        <v>506</v>
      </c>
      <c r="D2" s="7" t="s">
        <v>521</v>
      </c>
      <c r="E2" s="6">
        <v>1</v>
      </c>
      <c r="F2" s="6">
        <v>8</v>
      </c>
      <c r="G2" s="7">
        <v>78.45</v>
      </c>
      <c r="H2" s="7" t="s">
        <v>471</v>
      </c>
      <c r="I2" s="4">
        <v>61.209299999999999</v>
      </c>
      <c r="J2" s="4">
        <v>40.000849562148737</v>
      </c>
      <c r="K2" s="5">
        <v>1.5302</v>
      </c>
      <c r="L2" s="6">
        <v>17</v>
      </c>
      <c r="M2" s="7">
        <v>78</v>
      </c>
      <c r="N2" s="7">
        <v>54.264000000000003</v>
      </c>
      <c r="O2" s="5">
        <v>1.4374</v>
      </c>
      <c r="P2" s="6">
        <v>13</v>
      </c>
      <c r="Q2" s="7">
        <v>132</v>
      </c>
      <c r="R2" s="7">
        <v>622</v>
      </c>
      <c r="S2" s="5">
        <v>0.21221864951768488</v>
      </c>
      <c r="T2" s="5">
        <v>0.24001204424076553</v>
      </c>
      <c r="U2" s="5">
        <v>0.88419999999999999</v>
      </c>
      <c r="V2" s="6">
        <v>88</v>
      </c>
      <c r="W2" s="5">
        <v>1.8101568356173221</v>
      </c>
      <c r="X2" s="6">
        <v>41</v>
      </c>
      <c r="Y2" s="7">
        <v>9.2691999999999997</v>
      </c>
      <c r="Z2" s="6">
        <v>167</v>
      </c>
      <c r="AA2" s="7">
        <v>12</v>
      </c>
      <c r="AB2" s="7">
        <v>106</v>
      </c>
      <c r="AC2" s="5">
        <v>0.11320754716981132</v>
      </c>
      <c r="AD2" s="5">
        <v>0.1</v>
      </c>
      <c r="AE2" s="5">
        <v>1.1321000000000001</v>
      </c>
      <c r="AF2" s="6">
        <v>109</v>
      </c>
      <c r="AG2" s="5">
        <v>0.3851006666666667</v>
      </c>
      <c r="AH2" s="5">
        <v>0.4</v>
      </c>
      <c r="AI2" s="5">
        <v>0.96279999999999999</v>
      </c>
      <c r="AJ2" s="6">
        <v>102</v>
      </c>
      <c r="AK2" s="7">
        <v>12</v>
      </c>
      <c r="AL2" s="7">
        <v>14</v>
      </c>
      <c r="AM2" s="5">
        <v>0.8571428571428571</v>
      </c>
      <c r="AN2" s="5">
        <v>0.8</v>
      </c>
      <c r="AO2" s="5">
        <v>1.0713999999999999</v>
      </c>
      <c r="AP2" s="6">
        <v>134</v>
      </c>
    </row>
    <row r="3" spans="1:42">
      <c r="A3" s="10" t="str">
        <f>_xlfn.XLOOKUP(Table1[[#This Row],[SAP]],'Location List'!B:B,'Location List'!G:G)</f>
        <v>MO/IA/NE</v>
      </c>
      <c r="B3" s="10" t="str">
        <f>LEFT(Table1[[#This Row],[Sap: Loaction]],4)</f>
        <v>3ISR</v>
      </c>
      <c r="C3" s="7" t="s">
        <v>506</v>
      </c>
      <c r="D3" s="7" t="s">
        <v>522</v>
      </c>
      <c r="E3" s="6">
        <v>1</v>
      </c>
      <c r="F3" s="6">
        <v>14</v>
      </c>
      <c r="G3" s="7">
        <v>86.5</v>
      </c>
      <c r="H3" s="7" t="s">
        <v>471</v>
      </c>
      <c r="I3" s="4">
        <v>62.5441</v>
      </c>
      <c r="J3" s="4">
        <v>40.000063954975694</v>
      </c>
      <c r="K3" s="5">
        <v>1.5636000000000001</v>
      </c>
      <c r="L3" s="6">
        <v>15</v>
      </c>
      <c r="M3" s="7">
        <v>71</v>
      </c>
      <c r="N3" s="7">
        <v>82.917000000000002</v>
      </c>
      <c r="O3" s="5">
        <v>0.85629999999999995</v>
      </c>
      <c r="P3" s="6">
        <v>156</v>
      </c>
      <c r="Q3" s="7">
        <v>117</v>
      </c>
      <c r="R3" s="7">
        <v>604</v>
      </c>
      <c r="S3" s="5">
        <v>0.19370860927152317</v>
      </c>
      <c r="T3" s="5">
        <v>0.24000571090512099</v>
      </c>
      <c r="U3" s="5">
        <v>0.80710000000000004</v>
      </c>
      <c r="V3" s="6">
        <v>131</v>
      </c>
      <c r="W3" s="5">
        <v>1.624602287927277</v>
      </c>
      <c r="X3" s="6">
        <v>73</v>
      </c>
      <c r="Y3" s="7">
        <v>9.6667000000000005</v>
      </c>
      <c r="Z3" s="6">
        <v>127</v>
      </c>
      <c r="AA3" s="7">
        <v>16</v>
      </c>
      <c r="AB3" s="7">
        <v>66</v>
      </c>
      <c r="AC3" s="5">
        <v>0.24242424242424243</v>
      </c>
      <c r="AD3" s="5">
        <v>0.1</v>
      </c>
      <c r="AE3" s="5">
        <v>2.4241999999999999</v>
      </c>
      <c r="AF3" s="6">
        <v>28</v>
      </c>
      <c r="AG3" s="5">
        <v>0.43337166666666666</v>
      </c>
      <c r="AH3" s="5">
        <v>0.4</v>
      </c>
      <c r="AI3" s="5">
        <v>1.0833999999999999</v>
      </c>
      <c r="AJ3" s="6">
        <v>73</v>
      </c>
      <c r="AK3" s="7">
        <v>12</v>
      </c>
      <c r="AL3" s="7">
        <v>13</v>
      </c>
      <c r="AM3" s="5">
        <v>0.92307692307692313</v>
      </c>
      <c r="AN3" s="5">
        <v>0.8</v>
      </c>
      <c r="AO3" s="5">
        <v>1.1537999999999999</v>
      </c>
      <c r="AP3" s="6">
        <v>97</v>
      </c>
    </row>
    <row r="4" spans="1:42">
      <c r="A4" s="10" t="str">
        <f>_xlfn.XLOOKUP(Table1[[#This Row],[SAP]],'Location List'!B:B,'Location List'!G:G)</f>
        <v>KS/OK</v>
      </c>
      <c r="B4" s="10" t="str">
        <f>LEFT(Table1[[#This Row],[Sap: Loaction]],4)</f>
        <v>5280</v>
      </c>
      <c r="C4" s="7" t="s">
        <v>506</v>
      </c>
      <c r="D4" s="7" t="s">
        <v>523</v>
      </c>
      <c r="E4" s="6">
        <v>1</v>
      </c>
      <c r="F4" s="6">
        <v>15</v>
      </c>
      <c r="G4" s="7">
        <v>90</v>
      </c>
      <c r="H4" s="7" t="s">
        <v>471</v>
      </c>
      <c r="I4" s="4">
        <v>63.321899999999999</v>
      </c>
      <c r="J4" s="4">
        <v>40.001200252684775</v>
      </c>
      <c r="K4" s="5">
        <v>1.583</v>
      </c>
      <c r="L4" s="6">
        <v>14</v>
      </c>
      <c r="M4" s="7">
        <v>117</v>
      </c>
      <c r="N4" s="7">
        <v>42.070999999999998</v>
      </c>
      <c r="O4" s="5">
        <v>2.7810000000000001</v>
      </c>
      <c r="P4" s="6">
        <v>1</v>
      </c>
      <c r="Q4" s="7">
        <v>157</v>
      </c>
      <c r="R4" s="7">
        <v>490</v>
      </c>
      <c r="S4" s="5">
        <v>0.32040816326530613</v>
      </c>
      <c r="T4" s="5">
        <v>0.24000611480547276</v>
      </c>
      <c r="U4" s="5">
        <v>1.335</v>
      </c>
      <c r="V4" s="6">
        <v>8</v>
      </c>
      <c r="W4" s="5">
        <v>2.6315833777292403</v>
      </c>
      <c r="X4" s="6">
        <v>5</v>
      </c>
      <c r="Y4" s="7">
        <v>8.5</v>
      </c>
      <c r="Z4" s="6">
        <v>260</v>
      </c>
      <c r="AA4" s="7">
        <v>3</v>
      </c>
      <c r="AB4" s="7">
        <v>65</v>
      </c>
      <c r="AC4" s="5">
        <v>4.6153846153846156E-2</v>
      </c>
      <c r="AD4" s="5">
        <v>0.1</v>
      </c>
      <c r="AE4" s="5">
        <v>0.46150000000000002</v>
      </c>
      <c r="AF4" s="6">
        <v>231</v>
      </c>
      <c r="AG4" s="5">
        <v>0.37973099999999999</v>
      </c>
      <c r="AH4" s="5">
        <v>0.4</v>
      </c>
      <c r="AI4" s="5">
        <v>0.94930000000000003</v>
      </c>
      <c r="AJ4" s="6">
        <v>106</v>
      </c>
      <c r="AK4" s="7">
        <v>16</v>
      </c>
      <c r="AL4" s="7">
        <v>19</v>
      </c>
      <c r="AM4" s="5">
        <v>0.84210526315789469</v>
      </c>
      <c r="AN4" s="5">
        <v>0.8</v>
      </c>
      <c r="AO4" s="5">
        <v>1.0526</v>
      </c>
      <c r="AP4" s="6">
        <v>148</v>
      </c>
    </row>
    <row r="5" spans="1:42">
      <c r="A5" s="10" t="str">
        <f>_xlfn.XLOOKUP(Table1[[#This Row],[SAP]],'Location List'!B:B,'Location List'!G:G)</f>
        <v>KS/OK</v>
      </c>
      <c r="B5" s="10" t="str">
        <f>LEFT(Table1[[#This Row],[Sap: Loaction]],4)</f>
        <v>4781</v>
      </c>
      <c r="C5" s="7" t="s">
        <v>506</v>
      </c>
      <c r="D5" s="7" t="s">
        <v>524</v>
      </c>
      <c r="E5" s="6">
        <v>1</v>
      </c>
      <c r="F5" s="6">
        <v>16</v>
      </c>
      <c r="G5" s="7">
        <v>90.85</v>
      </c>
      <c r="H5" s="7" t="s">
        <v>471</v>
      </c>
      <c r="I5" s="4">
        <v>34.433599999999998</v>
      </c>
      <c r="J5" s="4">
        <v>40.001858736059475</v>
      </c>
      <c r="K5" s="5">
        <v>0.86080000000000001</v>
      </c>
      <c r="L5" s="6">
        <v>122</v>
      </c>
      <c r="M5" s="7">
        <v>130</v>
      </c>
      <c r="N5" s="7">
        <v>98.460999999999999</v>
      </c>
      <c r="O5" s="5">
        <v>1.3203</v>
      </c>
      <c r="P5" s="6">
        <v>28</v>
      </c>
      <c r="Q5" s="7">
        <v>161</v>
      </c>
      <c r="R5" s="7">
        <v>518</v>
      </c>
      <c r="S5" s="5">
        <v>0.3108108108108108</v>
      </c>
      <c r="T5" s="5">
        <v>0.24000834811645622</v>
      </c>
      <c r="U5" s="5">
        <v>1.2949999999999999</v>
      </c>
      <c r="V5" s="6">
        <v>11</v>
      </c>
      <c r="W5" s="5">
        <v>1.513304216811884</v>
      </c>
      <c r="X5" s="6">
        <v>89</v>
      </c>
      <c r="Y5" s="7">
        <v>7.92</v>
      </c>
      <c r="Z5" s="6">
        <v>301</v>
      </c>
      <c r="AA5" s="7">
        <v>9</v>
      </c>
      <c r="AB5" s="7">
        <v>68</v>
      </c>
      <c r="AC5" s="5">
        <v>0.13235294117647059</v>
      </c>
      <c r="AD5" s="5">
        <v>0.1</v>
      </c>
      <c r="AE5" s="5">
        <v>1.3234999999999999</v>
      </c>
      <c r="AF5" s="6">
        <v>88</v>
      </c>
      <c r="AG5" s="5">
        <v>0.50142399999999998</v>
      </c>
      <c r="AH5" s="5">
        <v>0.4</v>
      </c>
      <c r="AI5" s="5">
        <v>1.2536</v>
      </c>
      <c r="AJ5" s="6">
        <v>44</v>
      </c>
      <c r="AK5" s="7">
        <v>11</v>
      </c>
      <c r="AL5" s="7">
        <v>12</v>
      </c>
      <c r="AM5" s="5">
        <v>0.91666666666666663</v>
      </c>
      <c r="AN5" s="5">
        <v>0.8</v>
      </c>
      <c r="AO5" s="5">
        <v>1.1457999999999999</v>
      </c>
      <c r="AP5" s="6">
        <v>101</v>
      </c>
    </row>
    <row r="6" spans="1:42">
      <c r="A6" s="10" t="str">
        <f>_xlfn.XLOOKUP(Table1[[#This Row],[SAP]],'Location List'!B:B,'Location List'!G:G)</f>
        <v>CENTRAL TEXAS</v>
      </c>
      <c r="B6" s="10" t="str">
        <f>LEFT(Table1[[#This Row],[Sap: Loaction]],4)</f>
        <v>545D</v>
      </c>
      <c r="C6" s="7" t="s">
        <v>506</v>
      </c>
      <c r="D6" s="7" t="s">
        <v>525</v>
      </c>
      <c r="E6" s="6">
        <v>1</v>
      </c>
      <c r="F6" s="6">
        <v>26</v>
      </c>
      <c r="G6" s="7">
        <v>97.75</v>
      </c>
      <c r="H6" s="7" t="s">
        <v>471</v>
      </c>
      <c r="I6" s="4">
        <v>66.0458</v>
      </c>
      <c r="J6" s="4">
        <v>35.000423953365129</v>
      </c>
      <c r="K6" s="5">
        <v>1.887</v>
      </c>
      <c r="L6" s="6">
        <v>7</v>
      </c>
      <c r="M6" s="7">
        <v>44</v>
      </c>
      <c r="N6" s="7">
        <v>30.789000000000001</v>
      </c>
      <c r="O6" s="5">
        <v>1.4291</v>
      </c>
      <c r="P6" s="6">
        <v>15</v>
      </c>
      <c r="Q6" s="7">
        <v>71</v>
      </c>
      <c r="R6" s="7">
        <v>327</v>
      </c>
      <c r="S6" s="5">
        <v>0.21712538226299694</v>
      </c>
      <c r="T6" s="5">
        <v>0.23999710651375811</v>
      </c>
      <c r="U6" s="5">
        <v>0.90469999999999995</v>
      </c>
      <c r="V6" s="6">
        <v>81</v>
      </c>
      <c r="W6" s="5">
        <v>2.1478956304545433</v>
      </c>
      <c r="X6" s="6">
        <v>18</v>
      </c>
      <c r="Y6" s="7">
        <v>10</v>
      </c>
      <c r="Z6" s="6">
        <v>1</v>
      </c>
      <c r="AA6" s="7">
        <v>1</v>
      </c>
      <c r="AB6" s="7">
        <v>38</v>
      </c>
      <c r="AC6" s="5">
        <v>2.6315789473684209E-2</v>
      </c>
      <c r="AD6" s="5">
        <v>0.1</v>
      </c>
      <c r="AE6" s="5">
        <v>0.26319999999999999</v>
      </c>
      <c r="AF6" s="6">
        <v>274</v>
      </c>
      <c r="AG6" s="5">
        <v>0.26512333333333332</v>
      </c>
      <c r="AH6" s="5">
        <v>0.4</v>
      </c>
      <c r="AI6" s="5">
        <v>0.66279999999999994</v>
      </c>
      <c r="AJ6" s="6">
        <v>218</v>
      </c>
      <c r="AK6" s="7">
        <v>15</v>
      </c>
      <c r="AL6" s="7">
        <v>19</v>
      </c>
      <c r="AM6" s="5">
        <v>0.78947368421052633</v>
      </c>
      <c r="AN6" s="5">
        <v>0.8</v>
      </c>
      <c r="AO6" s="5">
        <v>0.98680000000000001</v>
      </c>
      <c r="AP6" s="6">
        <v>175</v>
      </c>
    </row>
    <row r="7" spans="1:42">
      <c r="A7" s="10" t="str">
        <f>_xlfn.XLOOKUP(Table1[[#This Row],[SAP]],'Location List'!B:B,'Location List'!G:G)</f>
        <v>SA SOUTH</v>
      </c>
      <c r="B7" s="10" t="str">
        <f>LEFT(Table1[[#This Row],[Sap: Loaction]],4)</f>
        <v>1627</v>
      </c>
      <c r="C7" s="7" t="s">
        <v>506</v>
      </c>
      <c r="D7" s="7" t="s">
        <v>526</v>
      </c>
      <c r="E7" s="6">
        <v>1</v>
      </c>
      <c r="F7" s="6">
        <v>27</v>
      </c>
      <c r="G7" s="7">
        <v>98.1</v>
      </c>
      <c r="H7" s="7" t="s">
        <v>471</v>
      </c>
      <c r="I7" s="4">
        <v>45.768900000000002</v>
      </c>
      <c r="J7" s="4">
        <v>40.000786575773468</v>
      </c>
      <c r="K7" s="5">
        <v>1.1442000000000001</v>
      </c>
      <c r="L7" s="6">
        <v>48</v>
      </c>
      <c r="M7" s="7">
        <v>95</v>
      </c>
      <c r="N7" s="7">
        <v>85.355000000000004</v>
      </c>
      <c r="O7" s="5">
        <v>1.113</v>
      </c>
      <c r="P7" s="6">
        <v>65</v>
      </c>
      <c r="Q7" s="7">
        <v>168</v>
      </c>
      <c r="R7" s="7">
        <v>604</v>
      </c>
      <c r="S7" s="5">
        <v>0.27814569536423839</v>
      </c>
      <c r="T7" s="5">
        <v>0.24000836600590075</v>
      </c>
      <c r="U7" s="5">
        <v>1.1589</v>
      </c>
      <c r="V7" s="6">
        <v>19</v>
      </c>
      <c r="W7" s="5">
        <v>1.4679020291335532</v>
      </c>
      <c r="X7" s="6">
        <v>99</v>
      </c>
      <c r="Y7" s="7">
        <v>9.5556000000000001</v>
      </c>
      <c r="Z7" s="6">
        <v>140</v>
      </c>
      <c r="AA7" s="7">
        <v>4</v>
      </c>
      <c r="AB7" s="7">
        <v>40</v>
      </c>
      <c r="AC7" s="5">
        <v>0.1</v>
      </c>
      <c r="AD7" s="5">
        <v>0.1</v>
      </c>
      <c r="AE7" s="5">
        <v>1</v>
      </c>
      <c r="AF7" s="6">
        <v>126</v>
      </c>
      <c r="AG7" s="5">
        <v>0.35697899999999999</v>
      </c>
      <c r="AH7" s="5">
        <v>0.4</v>
      </c>
      <c r="AI7" s="5">
        <v>0.89239999999999997</v>
      </c>
      <c r="AJ7" s="6">
        <v>131</v>
      </c>
      <c r="AK7" s="7">
        <v>20</v>
      </c>
      <c r="AL7" s="7">
        <v>29</v>
      </c>
      <c r="AM7" s="5">
        <v>0.68965517241379315</v>
      </c>
      <c r="AN7" s="5">
        <v>0.8</v>
      </c>
      <c r="AO7" s="5">
        <v>0.86209999999999998</v>
      </c>
      <c r="AP7" s="6">
        <v>224</v>
      </c>
    </row>
    <row r="8" spans="1:42">
      <c r="A8" s="10" t="str">
        <f>_xlfn.XLOOKUP(Table1[[#This Row],[SAP]],'Location List'!B:B,'Location List'!G:G)</f>
        <v>SOUTH TX/RGV</v>
      </c>
      <c r="B8" s="10" t="str">
        <f>LEFT(Table1[[#This Row],[Sap: Loaction]],4)</f>
        <v>2584</v>
      </c>
      <c r="C8" s="7" t="s">
        <v>506</v>
      </c>
      <c r="D8" s="7" t="s">
        <v>527</v>
      </c>
      <c r="E8" s="6">
        <v>1</v>
      </c>
      <c r="F8" s="6">
        <v>33</v>
      </c>
      <c r="G8" s="7">
        <v>100.05</v>
      </c>
      <c r="H8" s="7" t="s">
        <v>471</v>
      </c>
      <c r="I8" s="4">
        <v>38.517000000000003</v>
      </c>
      <c r="J8" s="4">
        <v>40.001038529442312</v>
      </c>
      <c r="K8" s="5">
        <v>0.96289999999999998</v>
      </c>
      <c r="L8" s="6">
        <v>91</v>
      </c>
      <c r="M8" s="7">
        <v>138</v>
      </c>
      <c r="N8" s="7">
        <v>82.611999999999995</v>
      </c>
      <c r="O8" s="5">
        <v>1.6705000000000001</v>
      </c>
      <c r="P8" s="6">
        <v>7</v>
      </c>
      <c r="Q8" s="7">
        <v>163</v>
      </c>
      <c r="R8" s="7">
        <v>815</v>
      </c>
      <c r="S8" s="5">
        <v>0.2</v>
      </c>
      <c r="T8" s="5">
        <v>0.24000960038401536</v>
      </c>
      <c r="U8" s="5">
        <v>0.83330000000000004</v>
      </c>
      <c r="V8" s="6">
        <v>115</v>
      </c>
      <c r="W8" s="5">
        <v>1.29338252203355</v>
      </c>
      <c r="X8" s="6">
        <v>144</v>
      </c>
      <c r="Y8" s="7">
        <v>9.7646999999999995</v>
      </c>
      <c r="Z8" s="6">
        <v>116</v>
      </c>
      <c r="AA8" s="7">
        <v>20</v>
      </c>
      <c r="AB8" s="7">
        <v>127</v>
      </c>
      <c r="AC8" s="5">
        <v>0.15748031496062992</v>
      </c>
      <c r="AD8" s="5">
        <v>0.1</v>
      </c>
      <c r="AE8" s="5">
        <v>1.5748</v>
      </c>
      <c r="AF8" s="6">
        <v>72</v>
      </c>
      <c r="AG8" s="5">
        <v>0.40515899999999999</v>
      </c>
      <c r="AH8" s="5">
        <v>0.4</v>
      </c>
      <c r="AI8" s="5">
        <v>1.0128999999999999</v>
      </c>
      <c r="AJ8" s="6">
        <v>87</v>
      </c>
      <c r="AK8" s="7">
        <v>15</v>
      </c>
      <c r="AL8" s="7">
        <v>22</v>
      </c>
      <c r="AM8" s="5">
        <v>0.68181818181818177</v>
      </c>
      <c r="AN8" s="5">
        <v>0.8</v>
      </c>
      <c r="AO8" s="5">
        <v>0.85229999999999995</v>
      </c>
      <c r="AP8" s="6">
        <v>226</v>
      </c>
    </row>
    <row r="9" spans="1:42">
      <c r="A9" s="10" t="str">
        <f>_xlfn.XLOOKUP(Table1[[#This Row],[SAP]],'Location List'!B:B,'Location List'!G:G)</f>
        <v>KS/OK</v>
      </c>
      <c r="B9" s="10" t="str">
        <f>LEFT(Table1[[#This Row],[Sap: Loaction]],4)</f>
        <v>687E</v>
      </c>
      <c r="C9" s="7" t="s">
        <v>506</v>
      </c>
      <c r="D9" s="7" t="s">
        <v>528</v>
      </c>
      <c r="E9" s="6">
        <v>1</v>
      </c>
      <c r="F9" s="6">
        <v>38</v>
      </c>
      <c r="G9" s="7">
        <v>105.1</v>
      </c>
      <c r="H9" s="7" t="s">
        <v>471</v>
      </c>
      <c r="I9" s="4">
        <v>35.932299999999998</v>
      </c>
      <c r="J9" s="4">
        <v>40.000333964154514</v>
      </c>
      <c r="K9" s="5">
        <v>0.89829999999999999</v>
      </c>
      <c r="L9" s="6">
        <v>112</v>
      </c>
      <c r="M9" s="7">
        <v>89</v>
      </c>
      <c r="N9" s="7">
        <v>67.674000000000007</v>
      </c>
      <c r="O9" s="5">
        <v>1.3150999999999999</v>
      </c>
      <c r="P9" s="6">
        <v>29</v>
      </c>
      <c r="Q9" s="7">
        <v>145</v>
      </c>
      <c r="R9" s="7">
        <v>692</v>
      </c>
      <c r="S9" s="5">
        <v>0.20953757225433525</v>
      </c>
      <c r="T9" s="5">
        <v>0.23999263801893855</v>
      </c>
      <c r="U9" s="5">
        <v>0.87309999999999999</v>
      </c>
      <c r="V9" s="6">
        <v>96</v>
      </c>
      <c r="W9" s="5">
        <v>1.8154844841844273</v>
      </c>
      <c r="X9" s="6">
        <v>40</v>
      </c>
      <c r="Y9" s="7">
        <v>8.1153999999999993</v>
      </c>
      <c r="Z9" s="6">
        <v>286</v>
      </c>
      <c r="AA9" s="7">
        <v>20</v>
      </c>
      <c r="AB9" s="7">
        <v>102</v>
      </c>
      <c r="AC9" s="5">
        <v>0.19607843137254902</v>
      </c>
      <c r="AD9" s="5">
        <v>0.1</v>
      </c>
      <c r="AE9" s="5">
        <v>1.9608000000000001</v>
      </c>
      <c r="AF9" s="6">
        <v>41</v>
      </c>
      <c r="AG9" s="5">
        <v>0.30903166666666665</v>
      </c>
      <c r="AH9" s="5">
        <v>0.4</v>
      </c>
      <c r="AI9" s="5">
        <v>0.77259999999999995</v>
      </c>
      <c r="AJ9" s="6">
        <v>174</v>
      </c>
      <c r="AK9" s="7">
        <v>12</v>
      </c>
      <c r="AL9" s="7">
        <v>14</v>
      </c>
      <c r="AM9" s="5">
        <v>0.8571428571428571</v>
      </c>
      <c r="AN9" s="5">
        <v>0.8</v>
      </c>
      <c r="AO9" s="5">
        <v>1.0713999999999999</v>
      </c>
      <c r="AP9" s="6">
        <v>134</v>
      </c>
    </row>
    <row r="10" spans="1:42">
      <c r="A10" s="10" t="str">
        <f>_xlfn.XLOOKUP(Table1[[#This Row],[SAP]],'Location List'!B:B,'Location List'!G:G)</f>
        <v>KS/OK</v>
      </c>
      <c r="B10" s="10" t="str">
        <f>LEFT(Table1[[#This Row],[Sap: Loaction]],4)</f>
        <v>966D</v>
      </c>
      <c r="C10" s="7" t="s">
        <v>506</v>
      </c>
      <c r="D10" s="7" t="s">
        <v>529</v>
      </c>
      <c r="E10" s="6">
        <v>1</v>
      </c>
      <c r="F10" s="6">
        <v>49</v>
      </c>
      <c r="G10" s="7">
        <v>113.1</v>
      </c>
      <c r="H10" s="7" t="s">
        <v>471</v>
      </c>
      <c r="I10" s="4">
        <v>44.775799999999997</v>
      </c>
      <c r="J10" s="4">
        <v>39.999821332856889</v>
      </c>
      <c r="K10" s="5">
        <v>1.1194</v>
      </c>
      <c r="L10" s="6">
        <v>51</v>
      </c>
      <c r="M10" s="7">
        <v>73</v>
      </c>
      <c r="N10" s="7">
        <v>78.343999999999994</v>
      </c>
      <c r="O10" s="5">
        <v>0.93179999999999996</v>
      </c>
      <c r="P10" s="6">
        <v>127</v>
      </c>
      <c r="Q10" s="7">
        <v>115</v>
      </c>
      <c r="R10" s="7">
        <v>571</v>
      </c>
      <c r="S10" s="5">
        <v>0.20140105078809106</v>
      </c>
      <c r="T10" s="5">
        <v>0.23999171924224388</v>
      </c>
      <c r="U10" s="5">
        <v>0.83919999999999995</v>
      </c>
      <c r="V10" s="6">
        <v>113</v>
      </c>
      <c r="W10" s="5">
        <v>2.0385308592076301</v>
      </c>
      <c r="X10" s="6">
        <v>23</v>
      </c>
      <c r="Y10" s="7">
        <v>8.2353000000000005</v>
      </c>
      <c r="Z10" s="6">
        <v>279</v>
      </c>
      <c r="AA10" s="7">
        <v>13</v>
      </c>
      <c r="AB10" s="7">
        <v>82</v>
      </c>
      <c r="AC10" s="5">
        <v>0.15853658536585366</v>
      </c>
      <c r="AD10" s="5">
        <v>0.1</v>
      </c>
      <c r="AE10" s="5">
        <v>1.5853999999999999</v>
      </c>
      <c r="AF10" s="6">
        <v>69</v>
      </c>
      <c r="AG10" s="5">
        <v>0.35248066666666666</v>
      </c>
      <c r="AH10" s="5">
        <v>0.4</v>
      </c>
      <c r="AI10" s="5">
        <v>0.88119999999999998</v>
      </c>
      <c r="AJ10" s="6">
        <v>134</v>
      </c>
      <c r="AK10" s="7">
        <v>14</v>
      </c>
      <c r="AL10" s="7">
        <v>17</v>
      </c>
      <c r="AM10" s="5">
        <v>0.82352941176470584</v>
      </c>
      <c r="AN10" s="5">
        <v>0.8</v>
      </c>
      <c r="AO10" s="5">
        <v>1.0294000000000001</v>
      </c>
      <c r="AP10" s="6">
        <v>155</v>
      </c>
    </row>
    <row r="11" spans="1:42">
      <c r="A11" s="10" t="str">
        <f>_xlfn.XLOOKUP(Table1[[#This Row],[SAP]],'Location List'!B:B,'Location List'!G:G)</f>
        <v>SA/HILL COUNTRY</v>
      </c>
      <c r="B11" s="10" t="str">
        <f>LEFT(Table1[[#This Row],[Sap: Loaction]],4)</f>
        <v>1DSW</v>
      </c>
      <c r="C11" s="7" t="s">
        <v>506</v>
      </c>
      <c r="D11" s="7" t="s">
        <v>530</v>
      </c>
      <c r="E11" s="6">
        <v>1</v>
      </c>
      <c r="F11" s="6">
        <v>55</v>
      </c>
      <c r="G11" s="7">
        <v>115.5</v>
      </c>
      <c r="H11" s="7" t="s">
        <v>471</v>
      </c>
      <c r="I11" s="4">
        <v>32.116500000000002</v>
      </c>
      <c r="J11" s="4">
        <v>40.000622742558228</v>
      </c>
      <c r="K11" s="5">
        <v>0.80289999999999995</v>
      </c>
      <c r="L11" s="6">
        <v>135</v>
      </c>
      <c r="M11" s="7">
        <v>52</v>
      </c>
      <c r="N11" s="7">
        <v>47.552999999999997</v>
      </c>
      <c r="O11" s="5">
        <v>1.0934999999999999</v>
      </c>
      <c r="P11" s="6">
        <v>69</v>
      </c>
      <c r="Q11" s="7">
        <v>80</v>
      </c>
      <c r="R11" s="7">
        <v>433</v>
      </c>
      <c r="S11" s="5">
        <v>0.18475750577367206</v>
      </c>
      <c r="T11" s="5">
        <v>0.24000715221313595</v>
      </c>
      <c r="U11" s="5">
        <v>0.76980000000000004</v>
      </c>
      <c r="V11" s="6">
        <v>154</v>
      </c>
      <c r="W11" s="5">
        <v>1.9120161935398317</v>
      </c>
      <c r="X11" s="6">
        <v>29</v>
      </c>
      <c r="Y11" s="7">
        <v>9.9285999999999994</v>
      </c>
      <c r="Z11" s="6">
        <v>78</v>
      </c>
      <c r="AA11" s="7">
        <v>10</v>
      </c>
      <c r="AB11" s="7">
        <v>58</v>
      </c>
      <c r="AC11" s="5">
        <v>0.17241379310344829</v>
      </c>
      <c r="AD11" s="5">
        <v>0.1</v>
      </c>
      <c r="AE11" s="5">
        <v>1.7241</v>
      </c>
      <c r="AF11" s="6">
        <v>58</v>
      </c>
      <c r="AG11" s="5">
        <v>0.33968233333333336</v>
      </c>
      <c r="AH11" s="5">
        <v>0.4</v>
      </c>
      <c r="AI11" s="5">
        <v>0.84919999999999995</v>
      </c>
      <c r="AJ11" s="6">
        <v>146</v>
      </c>
      <c r="AK11" s="7">
        <v>4</v>
      </c>
      <c r="AL11" s="7">
        <v>8</v>
      </c>
      <c r="AM11" s="5">
        <v>0.5</v>
      </c>
      <c r="AN11" s="5">
        <v>0.8</v>
      </c>
      <c r="AO11" s="5">
        <v>0.625</v>
      </c>
      <c r="AP11" s="6">
        <v>278</v>
      </c>
    </row>
    <row r="12" spans="1:42">
      <c r="A12" s="10" t="str">
        <f>_xlfn.XLOOKUP(Table1[[#This Row],[SAP]],'Location List'!B:B,'Location List'!G:G)</f>
        <v>KS/OK</v>
      </c>
      <c r="B12" s="10" t="str">
        <f>LEFT(Table1[[#This Row],[Sap: Loaction]],4)</f>
        <v>4789</v>
      </c>
      <c r="C12" s="7" t="s">
        <v>506</v>
      </c>
      <c r="D12" s="7" t="s">
        <v>531</v>
      </c>
      <c r="E12" s="6">
        <v>1</v>
      </c>
      <c r="F12" s="6">
        <v>58</v>
      </c>
      <c r="G12" s="7">
        <v>116.7</v>
      </c>
      <c r="H12" s="7" t="s">
        <v>471</v>
      </c>
      <c r="I12" s="4">
        <v>36.226100000000002</v>
      </c>
      <c r="J12" s="4">
        <v>39.997902175113175</v>
      </c>
      <c r="K12" s="5">
        <v>0.90569999999999995</v>
      </c>
      <c r="L12" s="6">
        <v>110</v>
      </c>
      <c r="M12" s="7">
        <v>108</v>
      </c>
      <c r="N12" s="7">
        <v>90.23</v>
      </c>
      <c r="O12" s="5">
        <v>1.1969000000000001</v>
      </c>
      <c r="P12" s="6">
        <v>47</v>
      </c>
      <c r="Q12" s="7">
        <v>146</v>
      </c>
      <c r="R12" s="7">
        <v>605</v>
      </c>
      <c r="S12" s="5">
        <v>0.24132231404958679</v>
      </c>
      <c r="T12" s="5">
        <v>0.24000230139193116</v>
      </c>
      <c r="U12" s="5">
        <v>1.0055000000000001</v>
      </c>
      <c r="V12" s="6">
        <v>47</v>
      </c>
      <c r="W12" s="5">
        <v>1.2545074051942113</v>
      </c>
      <c r="X12" s="6">
        <v>158</v>
      </c>
      <c r="Y12" s="7">
        <v>8.7368000000000006</v>
      </c>
      <c r="Z12" s="6">
        <v>236</v>
      </c>
      <c r="AA12" s="7">
        <v>24</v>
      </c>
      <c r="AB12" s="7">
        <v>76</v>
      </c>
      <c r="AC12" s="5">
        <v>0.31578947368421051</v>
      </c>
      <c r="AD12" s="5">
        <v>0.1</v>
      </c>
      <c r="AE12" s="5">
        <v>3.1579000000000002</v>
      </c>
      <c r="AF12" s="6">
        <v>12</v>
      </c>
      <c r="AG12" s="5">
        <v>0.19411500000000001</v>
      </c>
      <c r="AH12" s="5">
        <v>0.4</v>
      </c>
      <c r="AI12" s="5">
        <v>0.48530000000000001</v>
      </c>
      <c r="AJ12" s="6">
        <v>284</v>
      </c>
      <c r="AK12" s="7">
        <v>12</v>
      </c>
      <c r="AL12" s="7">
        <v>15</v>
      </c>
      <c r="AM12" s="5">
        <v>0.8</v>
      </c>
      <c r="AN12" s="5">
        <v>0.8</v>
      </c>
      <c r="AO12" s="5">
        <v>1</v>
      </c>
      <c r="AP12" s="6">
        <v>165</v>
      </c>
    </row>
    <row r="13" spans="1:42">
      <c r="A13" s="10" t="str">
        <f>_xlfn.XLOOKUP(Table1[[#This Row],[SAP]],'Location List'!B:B,'Location List'!G:G)</f>
        <v>SOUTH TX/RGV</v>
      </c>
      <c r="B13" s="10" t="str">
        <f>LEFT(Table1[[#This Row],[Sap: Loaction]],4)</f>
        <v>374E</v>
      </c>
      <c r="C13" s="7" t="s">
        <v>506</v>
      </c>
      <c r="D13" s="7" t="s">
        <v>532</v>
      </c>
      <c r="E13" s="6">
        <v>1</v>
      </c>
      <c r="F13" s="6">
        <v>69</v>
      </c>
      <c r="G13" s="7">
        <v>128.6</v>
      </c>
      <c r="H13" s="7" t="s">
        <v>471</v>
      </c>
      <c r="I13" s="4">
        <v>15.660600000000001</v>
      </c>
      <c r="J13" s="4">
        <v>30.001149425287355</v>
      </c>
      <c r="K13" s="5">
        <v>0.52200000000000002</v>
      </c>
      <c r="L13" s="6">
        <v>224</v>
      </c>
      <c r="M13" s="7">
        <v>31</v>
      </c>
      <c r="N13" s="7">
        <v>28.652999999999999</v>
      </c>
      <c r="O13" s="5">
        <v>1.0819000000000001</v>
      </c>
      <c r="P13" s="6">
        <v>74</v>
      </c>
      <c r="Q13" s="7">
        <v>41</v>
      </c>
      <c r="R13" s="7">
        <v>218</v>
      </c>
      <c r="S13" s="5">
        <v>0.18807339449541285</v>
      </c>
      <c r="T13" s="5">
        <v>0.24001198889154271</v>
      </c>
      <c r="U13" s="5">
        <v>0.78359999999999996</v>
      </c>
      <c r="V13" s="6">
        <v>144</v>
      </c>
      <c r="W13" s="5">
        <v>1.2518302781349366</v>
      </c>
      <c r="X13" s="6">
        <v>159</v>
      </c>
      <c r="Y13" s="7">
        <v>10</v>
      </c>
      <c r="Z13" s="6">
        <v>1</v>
      </c>
      <c r="AA13" s="7">
        <v>4</v>
      </c>
      <c r="AB13" s="7">
        <v>38</v>
      </c>
      <c r="AC13" s="5">
        <v>0.10526315789473684</v>
      </c>
      <c r="AD13" s="5">
        <v>0.1</v>
      </c>
      <c r="AE13" s="5">
        <v>1.0526</v>
      </c>
      <c r="AF13" s="6">
        <v>118</v>
      </c>
      <c r="AG13" s="5">
        <v>0.36666633333333332</v>
      </c>
      <c r="AH13" s="5">
        <v>0.4</v>
      </c>
      <c r="AI13" s="5">
        <v>0.91669999999999996</v>
      </c>
      <c r="AJ13" s="6">
        <v>121</v>
      </c>
      <c r="AK13" s="7">
        <v>8</v>
      </c>
      <c r="AL13" s="7">
        <v>10</v>
      </c>
      <c r="AM13" s="5">
        <v>0.8</v>
      </c>
      <c r="AN13" s="5">
        <v>0.8</v>
      </c>
      <c r="AO13" s="5">
        <v>1</v>
      </c>
      <c r="AP13" s="6">
        <v>165</v>
      </c>
    </row>
    <row r="14" spans="1:42">
      <c r="A14" s="10" t="str">
        <f>_xlfn.XLOOKUP(Table1[[#This Row],[SAP]],'Location List'!B:B,'Location List'!G:G)</f>
        <v>DFW EAST</v>
      </c>
      <c r="B14" s="10" t="str">
        <f>LEFT(Table1[[#This Row],[Sap: Loaction]],4)</f>
        <v>875E</v>
      </c>
      <c r="C14" s="7" t="s">
        <v>506</v>
      </c>
      <c r="D14" s="7" t="s">
        <v>533</v>
      </c>
      <c r="E14" s="6">
        <v>1</v>
      </c>
      <c r="F14" s="6">
        <v>72</v>
      </c>
      <c r="G14" s="7">
        <v>129.35</v>
      </c>
      <c r="H14" s="7" t="s">
        <v>471</v>
      </c>
      <c r="I14" s="4">
        <v>9.9553999999999991</v>
      </c>
      <c r="J14" s="4">
        <v>35.004922644163152</v>
      </c>
      <c r="K14" s="5">
        <v>0.28439999999999999</v>
      </c>
      <c r="L14" s="6">
        <v>283</v>
      </c>
      <c r="M14" s="7">
        <v>71</v>
      </c>
      <c r="N14" s="7">
        <v>49.689</v>
      </c>
      <c r="O14" s="5">
        <v>1.4289000000000001</v>
      </c>
      <c r="P14" s="6">
        <v>16</v>
      </c>
      <c r="Q14" s="7">
        <v>92</v>
      </c>
      <c r="R14" s="7">
        <v>341</v>
      </c>
      <c r="S14" s="5">
        <v>0.26979472140762462</v>
      </c>
      <c r="T14" s="5">
        <v>0.24000953777032702</v>
      </c>
      <c r="U14" s="5">
        <v>1.1241000000000001</v>
      </c>
      <c r="V14" s="6">
        <v>25</v>
      </c>
      <c r="W14" s="5">
        <v>1.7067082493352874</v>
      </c>
      <c r="X14" s="6">
        <v>57</v>
      </c>
      <c r="Y14" s="7">
        <v>6.3635999999999999</v>
      </c>
      <c r="Z14" s="6">
        <v>347</v>
      </c>
      <c r="AA14" s="7">
        <v>8</v>
      </c>
      <c r="AB14" s="7">
        <v>66</v>
      </c>
      <c r="AC14" s="5">
        <v>0.12121212121212122</v>
      </c>
      <c r="AD14" s="5">
        <v>0.1</v>
      </c>
      <c r="AE14" s="5">
        <v>1.2121</v>
      </c>
      <c r="AF14" s="6">
        <v>99</v>
      </c>
      <c r="AG14" s="5">
        <v>0.52814799999999995</v>
      </c>
      <c r="AH14" s="5">
        <v>0.4</v>
      </c>
      <c r="AI14" s="5">
        <v>1.3204</v>
      </c>
      <c r="AJ14" s="6">
        <v>33</v>
      </c>
      <c r="AK14" s="7">
        <v>18</v>
      </c>
      <c r="AL14" s="7">
        <v>26</v>
      </c>
      <c r="AM14" s="5">
        <v>0.69230769230769229</v>
      </c>
      <c r="AN14" s="5">
        <v>0.8</v>
      </c>
      <c r="AO14" s="5">
        <v>0.86539999999999995</v>
      </c>
      <c r="AP14" s="6">
        <v>222</v>
      </c>
    </row>
    <row r="15" spans="1:42">
      <c r="A15" s="10" t="str">
        <f>_xlfn.XLOOKUP(Table1[[#This Row],[SAP]],'Location List'!B:B,'Location List'!G:G)</f>
        <v>SA SOUTH</v>
      </c>
      <c r="B15" s="10" t="str">
        <f>LEFT(Table1[[#This Row],[Sap: Loaction]],4)</f>
        <v>1DSZ</v>
      </c>
      <c r="C15" s="7" t="s">
        <v>506</v>
      </c>
      <c r="D15" s="7" t="s">
        <v>534</v>
      </c>
      <c r="E15" s="6">
        <v>2</v>
      </c>
      <c r="F15" s="6">
        <v>75</v>
      </c>
      <c r="G15" s="7">
        <v>130.5</v>
      </c>
      <c r="H15" s="7" t="s">
        <v>471</v>
      </c>
      <c r="I15" s="4">
        <v>32.281500000000001</v>
      </c>
      <c r="J15" s="4">
        <v>35.001084245906974</v>
      </c>
      <c r="K15" s="5">
        <v>0.92230000000000001</v>
      </c>
      <c r="L15" s="6">
        <v>105</v>
      </c>
      <c r="M15" s="7">
        <v>40</v>
      </c>
      <c r="N15" s="7">
        <v>43.591999999999999</v>
      </c>
      <c r="O15" s="5">
        <v>0.91759999999999997</v>
      </c>
      <c r="P15" s="6">
        <v>133</v>
      </c>
      <c r="Q15" s="7">
        <v>69</v>
      </c>
      <c r="R15" s="7">
        <v>315</v>
      </c>
      <c r="S15" s="5">
        <v>0.21904761904761905</v>
      </c>
      <c r="T15" s="5">
        <v>0.23999958260942156</v>
      </c>
      <c r="U15" s="5">
        <v>0.91269999999999996</v>
      </c>
      <c r="V15" s="6">
        <v>77</v>
      </c>
      <c r="W15" s="5">
        <v>1.4376080602407684</v>
      </c>
      <c r="X15" s="6">
        <v>110</v>
      </c>
      <c r="Y15" s="7">
        <v>9.6922999999999995</v>
      </c>
      <c r="Z15" s="6">
        <v>125</v>
      </c>
      <c r="AA15" s="7">
        <v>2</v>
      </c>
      <c r="AB15" s="7">
        <v>30</v>
      </c>
      <c r="AC15" s="5">
        <v>6.6666666666666666E-2</v>
      </c>
      <c r="AD15" s="5">
        <v>0.1</v>
      </c>
      <c r="AE15" s="5">
        <v>0.66669999999999996</v>
      </c>
      <c r="AF15" s="6">
        <v>185</v>
      </c>
      <c r="AG15" s="5">
        <v>0.43792166666666671</v>
      </c>
      <c r="AH15" s="5">
        <v>0.4</v>
      </c>
      <c r="AI15" s="5">
        <v>1.0948</v>
      </c>
      <c r="AJ15" s="6">
        <v>70</v>
      </c>
      <c r="AK15" s="7">
        <v>11</v>
      </c>
      <c r="AL15" s="7">
        <v>18</v>
      </c>
      <c r="AM15" s="5">
        <v>0.61111111111111116</v>
      </c>
      <c r="AN15" s="5">
        <v>0.8</v>
      </c>
      <c r="AO15" s="5">
        <v>0.76390000000000002</v>
      </c>
      <c r="AP15" s="6">
        <v>250</v>
      </c>
    </row>
    <row r="16" spans="1:42">
      <c r="A16" s="10" t="str">
        <f>_xlfn.XLOOKUP(Table1[[#This Row],[SAP]],'Location List'!B:B,'Location List'!G:G)</f>
        <v>CENTRAL TEXAS</v>
      </c>
      <c r="B16" s="10" t="str">
        <f>LEFT(Table1[[#This Row],[Sap: Loaction]],4)</f>
        <v>1FSM</v>
      </c>
      <c r="C16" s="7" t="s">
        <v>506</v>
      </c>
      <c r="D16" s="7" t="s">
        <v>535</v>
      </c>
      <c r="E16" s="6">
        <v>2</v>
      </c>
      <c r="F16" s="6">
        <v>80</v>
      </c>
      <c r="G16" s="7">
        <v>133.65</v>
      </c>
      <c r="H16" s="7" t="s">
        <v>471</v>
      </c>
      <c r="I16" s="4">
        <v>6.6527000000000003</v>
      </c>
      <c r="J16" s="4">
        <v>34.995791688584958</v>
      </c>
      <c r="K16" s="5">
        <v>0.19009999999999999</v>
      </c>
      <c r="L16" s="6">
        <v>304</v>
      </c>
      <c r="M16" s="7">
        <v>38</v>
      </c>
      <c r="N16" s="7">
        <v>48.771999999999998</v>
      </c>
      <c r="O16" s="5">
        <v>0.77910000000000001</v>
      </c>
      <c r="P16" s="6">
        <v>187</v>
      </c>
      <c r="Q16" s="7">
        <v>69</v>
      </c>
      <c r="R16" s="7">
        <v>436</v>
      </c>
      <c r="S16" s="5">
        <v>0.15825688073394495</v>
      </c>
      <c r="T16" s="5">
        <v>0.24000133565960716</v>
      </c>
      <c r="U16" s="5">
        <v>0.65939999999999999</v>
      </c>
      <c r="V16" s="6">
        <v>233</v>
      </c>
      <c r="W16" s="5">
        <v>1.5468882963870025</v>
      </c>
      <c r="X16" s="6">
        <v>82</v>
      </c>
      <c r="Y16" s="7">
        <v>10</v>
      </c>
      <c r="Z16" s="6">
        <v>1</v>
      </c>
      <c r="AA16" s="7">
        <v>15</v>
      </c>
      <c r="AB16" s="7">
        <v>56</v>
      </c>
      <c r="AC16" s="5">
        <v>0.26785714285714285</v>
      </c>
      <c r="AD16" s="5">
        <v>0.1</v>
      </c>
      <c r="AE16" s="5">
        <v>2.6785999999999999</v>
      </c>
      <c r="AF16" s="6">
        <v>19</v>
      </c>
      <c r="AG16" s="5">
        <v>0.34567866666666669</v>
      </c>
      <c r="AH16" s="5">
        <v>0.4</v>
      </c>
      <c r="AI16" s="5">
        <v>0.86419999999999997</v>
      </c>
      <c r="AJ16" s="6">
        <v>138</v>
      </c>
      <c r="AK16" s="7">
        <v>18</v>
      </c>
      <c r="AL16" s="7">
        <v>18</v>
      </c>
      <c r="AM16" s="5">
        <v>1</v>
      </c>
      <c r="AN16" s="5">
        <v>0.8</v>
      </c>
      <c r="AO16" s="5">
        <v>1.25</v>
      </c>
      <c r="AP16" s="6">
        <v>1</v>
      </c>
    </row>
    <row r="17" spans="1:42">
      <c r="A17" s="10" t="str">
        <f>_xlfn.XLOOKUP(Table1[[#This Row],[SAP]],'Location List'!B:B,'Location List'!G:G)</f>
        <v>CENTRAL TEXAS</v>
      </c>
      <c r="B17" s="10" t="str">
        <f>LEFT(Table1[[#This Row],[Sap: Loaction]],4)</f>
        <v>1DSU</v>
      </c>
      <c r="C17" s="7" t="s">
        <v>506</v>
      </c>
      <c r="D17" s="7" t="s">
        <v>536</v>
      </c>
      <c r="E17" s="6">
        <v>2</v>
      </c>
      <c r="F17" s="6">
        <v>88</v>
      </c>
      <c r="G17" s="7">
        <v>135.5</v>
      </c>
      <c r="H17" s="7" t="s">
        <v>471</v>
      </c>
      <c r="I17" s="4">
        <v>26.058900000000001</v>
      </c>
      <c r="J17" s="4">
        <v>39.998311588641599</v>
      </c>
      <c r="K17" s="5">
        <v>0.65149999999999997</v>
      </c>
      <c r="L17" s="6">
        <v>180</v>
      </c>
      <c r="M17" s="7">
        <v>53</v>
      </c>
      <c r="N17" s="7">
        <v>41.152000000000001</v>
      </c>
      <c r="O17" s="5">
        <v>1.2879</v>
      </c>
      <c r="P17" s="6">
        <v>32</v>
      </c>
      <c r="Q17" s="7">
        <v>79</v>
      </c>
      <c r="R17" s="7">
        <v>341</v>
      </c>
      <c r="S17" s="5">
        <v>0.2316715542521994</v>
      </c>
      <c r="T17" s="5">
        <v>0.23999953822873654</v>
      </c>
      <c r="U17" s="5">
        <v>0.96530000000000005</v>
      </c>
      <c r="V17" s="6">
        <v>58</v>
      </c>
      <c r="W17" s="5">
        <v>0.89841358602054078</v>
      </c>
      <c r="X17" s="6">
        <v>270</v>
      </c>
      <c r="Y17" s="7">
        <v>10</v>
      </c>
      <c r="Z17" s="6">
        <v>1</v>
      </c>
      <c r="AA17" s="7">
        <v>3</v>
      </c>
      <c r="AB17" s="7">
        <v>40</v>
      </c>
      <c r="AC17" s="5">
        <v>7.4999999999999997E-2</v>
      </c>
      <c r="AD17" s="5">
        <v>0.1</v>
      </c>
      <c r="AE17" s="5">
        <v>0.75</v>
      </c>
      <c r="AF17" s="6">
        <v>166</v>
      </c>
      <c r="AG17" s="5">
        <v>0.32722800000000002</v>
      </c>
      <c r="AH17" s="5">
        <v>0.4</v>
      </c>
      <c r="AI17" s="5">
        <v>0.81810000000000005</v>
      </c>
      <c r="AJ17" s="6">
        <v>152</v>
      </c>
      <c r="AK17" s="7">
        <v>9</v>
      </c>
      <c r="AL17" s="7">
        <v>18</v>
      </c>
      <c r="AM17" s="5">
        <v>0.5</v>
      </c>
      <c r="AN17" s="5">
        <v>0.8</v>
      </c>
      <c r="AO17" s="5">
        <v>0.625</v>
      </c>
      <c r="AP17" s="6">
        <v>278</v>
      </c>
    </row>
    <row r="18" spans="1:42">
      <c r="A18" s="10" t="str">
        <f>_xlfn.XLOOKUP(Table1[[#This Row],[SAP]],'Location List'!B:B,'Location List'!G:G)</f>
        <v>KS/OK</v>
      </c>
      <c r="B18" s="10" t="str">
        <f>LEFT(Table1[[#This Row],[Sap: Loaction]],4)</f>
        <v>586D</v>
      </c>
      <c r="C18" s="7" t="s">
        <v>506</v>
      </c>
      <c r="D18" s="7" t="s">
        <v>537</v>
      </c>
      <c r="E18" s="6">
        <v>2</v>
      </c>
      <c r="F18" s="6">
        <v>89</v>
      </c>
      <c r="G18" s="7">
        <v>135.80000000000001</v>
      </c>
      <c r="H18" s="7" t="s">
        <v>471</v>
      </c>
      <c r="I18" s="4">
        <v>39.231400000000001</v>
      </c>
      <c r="J18" s="4">
        <v>39.999388254486135</v>
      </c>
      <c r="K18" s="5">
        <v>0.98080000000000001</v>
      </c>
      <c r="L18" s="6">
        <v>88</v>
      </c>
      <c r="M18" s="7">
        <v>61</v>
      </c>
      <c r="N18" s="7">
        <v>53.347000000000001</v>
      </c>
      <c r="O18" s="5">
        <v>1.1435</v>
      </c>
      <c r="P18" s="6">
        <v>60</v>
      </c>
      <c r="Q18" s="7">
        <v>95</v>
      </c>
      <c r="R18" s="7">
        <v>547</v>
      </c>
      <c r="S18" s="5">
        <v>0.17367458866544791</v>
      </c>
      <c r="T18" s="5">
        <v>0.24001463331322265</v>
      </c>
      <c r="U18" s="5">
        <v>0.72360000000000002</v>
      </c>
      <c r="V18" s="6">
        <v>183</v>
      </c>
      <c r="W18" s="5">
        <v>1.4737178362972632</v>
      </c>
      <c r="X18" s="6">
        <v>95</v>
      </c>
      <c r="Y18" s="7">
        <v>9</v>
      </c>
      <c r="Z18" s="6">
        <v>194</v>
      </c>
      <c r="AA18" s="7">
        <v>6</v>
      </c>
      <c r="AB18" s="7">
        <v>41</v>
      </c>
      <c r="AC18" s="5">
        <v>0.14634146341463414</v>
      </c>
      <c r="AD18" s="5">
        <v>0.1</v>
      </c>
      <c r="AE18" s="5">
        <v>1.4634</v>
      </c>
      <c r="AF18" s="6">
        <v>79</v>
      </c>
      <c r="AG18" s="5">
        <v>0.20202000000000001</v>
      </c>
      <c r="AH18" s="5">
        <v>0.4</v>
      </c>
      <c r="AI18" s="5">
        <v>0.50509999999999999</v>
      </c>
      <c r="AJ18" s="6">
        <v>273</v>
      </c>
      <c r="AK18" s="7">
        <v>7</v>
      </c>
      <c r="AL18" s="7">
        <v>9</v>
      </c>
      <c r="AM18" s="5">
        <v>0.77777777777777779</v>
      </c>
      <c r="AN18" s="5">
        <v>0.8</v>
      </c>
      <c r="AO18" s="5">
        <v>0.97219999999999995</v>
      </c>
      <c r="AP18" s="6">
        <v>181</v>
      </c>
    </row>
    <row r="19" spans="1:42">
      <c r="A19" s="10" t="str">
        <f>_xlfn.XLOOKUP(Table1[[#This Row],[SAP]],'Location List'!B:B,'Location List'!G:G)</f>
        <v>CENTRAL TEXAS</v>
      </c>
      <c r="B19" s="10" t="str">
        <f>LEFT(Table1[[#This Row],[Sap: Loaction]],4)</f>
        <v>1FSH</v>
      </c>
      <c r="C19" s="7" t="s">
        <v>506</v>
      </c>
      <c r="D19" s="7" t="s">
        <v>538</v>
      </c>
      <c r="E19" s="6">
        <v>2</v>
      </c>
      <c r="F19" s="6">
        <v>90</v>
      </c>
      <c r="G19" s="7">
        <v>136.15</v>
      </c>
      <c r="H19" s="7" t="s">
        <v>471</v>
      </c>
      <c r="I19" s="4">
        <v>30.853100000000001</v>
      </c>
      <c r="J19" s="4">
        <v>40.001426163619868</v>
      </c>
      <c r="K19" s="5">
        <v>0.77129999999999999</v>
      </c>
      <c r="L19" s="6">
        <v>145</v>
      </c>
      <c r="M19" s="7">
        <v>76</v>
      </c>
      <c r="N19" s="7">
        <v>78.647999999999996</v>
      </c>
      <c r="O19" s="5">
        <v>0.96630000000000005</v>
      </c>
      <c r="P19" s="6">
        <v>110</v>
      </c>
      <c r="Q19" s="7">
        <v>129</v>
      </c>
      <c r="R19" s="7">
        <v>569</v>
      </c>
      <c r="S19" s="5">
        <v>0.22671353251318102</v>
      </c>
      <c r="T19" s="5">
        <v>0.24001009158710673</v>
      </c>
      <c r="U19" s="5">
        <v>0.9446</v>
      </c>
      <c r="V19" s="6">
        <v>69</v>
      </c>
      <c r="W19" s="5">
        <v>1.1723396290783872</v>
      </c>
      <c r="X19" s="6">
        <v>184</v>
      </c>
      <c r="Y19" s="7">
        <v>9</v>
      </c>
      <c r="Z19" s="6">
        <v>194</v>
      </c>
      <c r="AA19" s="7">
        <v>12</v>
      </c>
      <c r="AB19" s="7">
        <v>64</v>
      </c>
      <c r="AC19" s="5">
        <v>0.1875</v>
      </c>
      <c r="AD19" s="5">
        <v>0.1</v>
      </c>
      <c r="AE19" s="5">
        <v>1.875</v>
      </c>
      <c r="AF19" s="6">
        <v>45</v>
      </c>
      <c r="AG19" s="5">
        <v>0.25877166666666668</v>
      </c>
      <c r="AH19" s="5">
        <v>0.4</v>
      </c>
      <c r="AI19" s="5">
        <v>0.64690000000000003</v>
      </c>
      <c r="AJ19" s="6">
        <v>226</v>
      </c>
      <c r="AK19" s="7">
        <v>14</v>
      </c>
      <c r="AL19" s="7">
        <v>19</v>
      </c>
      <c r="AM19" s="5">
        <v>0.73684210526315785</v>
      </c>
      <c r="AN19" s="5">
        <v>0.8</v>
      </c>
      <c r="AO19" s="5">
        <v>0.92110000000000003</v>
      </c>
      <c r="AP19" s="6">
        <v>204</v>
      </c>
    </row>
    <row r="20" spans="1:42">
      <c r="A20" s="10" t="str">
        <f>_xlfn.XLOOKUP(Table1[[#This Row],[SAP]],'Location List'!B:B,'Location List'!G:G)</f>
        <v>DFW NORTH</v>
      </c>
      <c r="B20" s="10" t="str">
        <f>LEFT(Table1[[#This Row],[Sap: Loaction]],4)</f>
        <v>1CSD</v>
      </c>
      <c r="C20" s="7" t="s">
        <v>506</v>
      </c>
      <c r="D20" s="7" t="s">
        <v>539</v>
      </c>
      <c r="E20" s="6">
        <v>2</v>
      </c>
      <c r="F20" s="6">
        <v>99</v>
      </c>
      <c r="G20" s="7">
        <v>140</v>
      </c>
      <c r="H20" s="7" t="s">
        <v>471</v>
      </c>
      <c r="I20" s="4">
        <v>33.578899999999997</v>
      </c>
      <c r="J20" s="4">
        <v>34.999895768188445</v>
      </c>
      <c r="K20" s="5">
        <v>0.95940000000000003</v>
      </c>
      <c r="L20" s="6">
        <v>93</v>
      </c>
      <c r="M20" s="7">
        <v>41</v>
      </c>
      <c r="N20" s="7">
        <v>45.723999999999997</v>
      </c>
      <c r="O20" s="5">
        <v>0.89670000000000005</v>
      </c>
      <c r="P20" s="6">
        <v>141</v>
      </c>
      <c r="Q20" s="7">
        <v>71</v>
      </c>
      <c r="R20" s="7">
        <v>383</v>
      </c>
      <c r="S20" s="5">
        <v>0.18537859007832899</v>
      </c>
      <c r="T20" s="5">
        <v>0.24000335328628819</v>
      </c>
      <c r="U20" s="5">
        <v>0.77239999999999998</v>
      </c>
      <c r="V20" s="6">
        <v>152</v>
      </c>
      <c r="W20" s="5">
        <v>1.6330991549979739</v>
      </c>
      <c r="X20" s="6">
        <v>71</v>
      </c>
      <c r="Y20" s="7">
        <v>10</v>
      </c>
      <c r="Z20" s="6">
        <v>1</v>
      </c>
      <c r="AA20" s="7">
        <v>5</v>
      </c>
      <c r="AB20" s="7">
        <v>51</v>
      </c>
      <c r="AC20" s="5">
        <v>9.8039215686274508E-2</v>
      </c>
      <c r="AD20" s="5">
        <v>0.1</v>
      </c>
      <c r="AE20" s="5">
        <v>0.98040000000000005</v>
      </c>
      <c r="AF20" s="6">
        <v>130</v>
      </c>
      <c r="AG20" s="5">
        <v>0.24276066666666665</v>
      </c>
      <c r="AH20" s="5">
        <v>0.4</v>
      </c>
      <c r="AI20" s="5">
        <v>0.6069</v>
      </c>
      <c r="AJ20" s="6">
        <v>240</v>
      </c>
      <c r="AK20" s="7">
        <v>6</v>
      </c>
      <c r="AL20" s="7">
        <v>16</v>
      </c>
      <c r="AM20" s="5">
        <v>0.375</v>
      </c>
      <c r="AN20" s="5">
        <v>0.8</v>
      </c>
      <c r="AO20" s="5">
        <v>0.46879999999999999</v>
      </c>
      <c r="AP20" s="6">
        <v>314</v>
      </c>
    </row>
    <row r="21" spans="1:42">
      <c r="A21" s="10" t="str">
        <f>_xlfn.XLOOKUP(Table1[[#This Row],[SAP]],'Location List'!B:B,'Location List'!G:G)</f>
        <v>DFW NORTH</v>
      </c>
      <c r="B21" s="10" t="str">
        <f>LEFT(Table1[[#This Row],[Sap: Loaction]],4)</f>
        <v>1CSM</v>
      </c>
      <c r="C21" s="7" t="s">
        <v>506</v>
      </c>
      <c r="D21" s="7" t="s">
        <v>540</v>
      </c>
      <c r="E21" s="6">
        <v>2</v>
      </c>
      <c r="F21" s="6">
        <v>101</v>
      </c>
      <c r="G21" s="7">
        <v>141.55000000000001</v>
      </c>
      <c r="H21" s="7" t="s">
        <v>471</v>
      </c>
      <c r="I21" s="4">
        <v>26.729500000000002</v>
      </c>
      <c r="J21" s="4">
        <v>35</v>
      </c>
      <c r="K21" s="5">
        <v>0.76370000000000005</v>
      </c>
      <c r="L21" s="6">
        <v>147</v>
      </c>
      <c r="M21" s="7">
        <v>38</v>
      </c>
      <c r="N21" s="7">
        <v>39.932000000000002</v>
      </c>
      <c r="O21" s="5">
        <v>0.9516</v>
      </c>
      <c r="P21" s="6">
        <v>119</v>
      </c>
      <c r="Q21" s="7">
        <v>63</v>
      </c>
      <c r="R21" s="7">
        <v>322</v>
      </c>
      <c r="S21" s="5">
        <v>0.19565217391304349</v>
      </c>
      <c r="T21" s="5">
        <v>0.240005120109229</v>
      </c>
      <c r="U21" s="5">
        <v>0.81520000000000004</v>
      </c>
      <c r="V21" s="6">
        <v>128</v>
      </c>
      <c r="W21" s="5">
        <v>1.0810528877450254</v>
      </c>
      <c r="X21" s="6">
        <v>214</v>
      </c>
      <c r="Y21" s="7">
        <v>10</v>
      </c>
      <c r="Z21" s="6">
        <v>1</v>
      </c>
      <c r="AA21" s="7">
        <v>0</v>
      </c>
      <c r="AB21" s="7">
        <v>62</v>
      </c>
      <c r="AC21" s="5">
        <v>0</v>
      </c>
      <c r="AD21" s="5">
        <v>0.1</v>
      </c>
      <c r="AE21" s="5">
        <v>0</v>
      </c>
      <c r="AF21" s="6">
        <v>311</v>
      </c>
      <c r="AG21" s="5">
        <v>0.57440466666666667</v>
      </c>
      <c r="AH21" s="5">
        <v>0.4</v>
      </c>
      <c r="AI21" s="5">
        <v>1.4359999999999999</v>
      </c>
      <c r="AJ21" s="6">
        <v>21</v>
      </c>
      <c r="AK21" s="7">
        <v>7</v>
      </c>
      <c r="AL21" s="7">
        <v>8</v>
      </c>
      <c r="AM21" s="5">
        <v>0.875</v>
      </c>
      <c r="AN21" s="5">
        <v>0.8</v>
      </c>
      <c r="AO21" s="5">
        <v>1.0938000000000001</v>
      </c>
      <c r="AP21" s="6">
        <v>122</v>
      </c>
    </row>
    <row r="22" spans="1:42">
      <c r="A22" s="10" t="str">
        <f>_xlfn.XLOOKUP(Table1[[#This Row],[SAP]],'Location List'!B:B,'Location List'!G:G)</f>
        <v>DFW EAST</v>
      </c>
      <c r="B22" s="10" t="str">
        <f>LEFT(Table1[[#This Row],[Sap: Loaction]],4)</f>
        <v>618E</v>
      </c>
      <c r="C22" s="7" t="s">
        <v>506</v>
      </c>
      <c r="D22" s="7" t="s">
        <v>541</v>
      </c>
      <c r="E22" s="6">
        <v>2</v>
      </c>
      <c r="F22" s="6">
        <v>103</v>
      </c>
      <c r="G22" s="7">
        <v>142.55000000000001</v>
      </c>
      <c r="H22" s="7" t="s">
        <v>471</v>
      </c>
      <c r="I22" s="4">
        <v>11.9771</v>
      </c>
      <c r="J22" s="4">
        <v>30.002755511022045</v>
      </c>
      <c r="K22" s="5">
        <v>0.3992</v>
      </c>
      <c r="L22" s="6">
        <v>257</v>
      </c>
      <c r="M22" s="7">
        <v>25</v>
      </c>
      <c r="N22" s="7">
        <v>31.702999999999999</v>
      </c>
      <c r="O22" s="5">
        <v>0.78859999999999997</v>
      </c>
      <c r="P22" s="6">
        <v>181</v>
      </c>
      <c r="Q22" s="7">
        <v>38</v>
      </c>
      <c r="R22" s="7">
        <v>204</v>
      </c>
      <c r="S22" s="5">
        <v>0.18627450980392157</v>
      </c>
      <c r="T22" s="5">
        <v>0.24001354181667514</v>
      </c>
      <c r="U22" s="5">
        <v>0.77610000000000001</v>
      </c>
      <c r="V22" s="6">
        <v>148</v>
      </c>
      <c r="W22" s="5">
        <v>1.7364276537671055</v>
      </c>
      <c r="X22" s="6">
        <v>55</v>
      </c>
      <c r="Y22" s="7">
        <v>9.7142999999999997</v>
      </c>
      <c r="Z22" s="6">
        <v>119</v>
      </c>
      <c r="AA22" s="7">
        <v>2</v>
      </c>
      <c r="AB22" s="7">
        <v>24</v>
      </c>
      <c r="AC22" s="5">
        <v>8.3333333333333329E-2</v>
      </c>
      <c r="AD22" s="5">
        <v>0.1</v>
      </c>
      <c r="AE22" s="5">
        <v>0.83330000000000004</v>
      </c>
      <c r="AF22" s="6">
        <v>153</v>
      </c>
      <c r="AG22" s="5">
        <v>0.65454500000000004</v>
      </c>
      <c r="AH22" s="5">
        <v>0.4</v>
      </c>
      <c r="AI22" s="5">
        <v>1.6364000000000001</v>
      </c>
      <c r="AJ22" s="6">
        <v>9</v>
      </c>
      <c r="AK22" s="7">
        <v>6</v>
      </c>
      <c r="AL22" s="7">
        <v>7</v>
      </c>
      <c r="AM22" s="5">
        <v>0.8571428571428571</v>
      </c>
      <c r="AN22" s="5">
        <v>0.8</v>
      </c>
      <c r="AO22" s="5">
        <v>1.0713999999999999</v>
      </c>
      <c r="AP22" s="6">
        <v>134</v>
      </c>
    </row>
    <row r="23" spans="1:42">
      <c r="A23" s="10" t="str">
        <f>_xlfn.XLOOKUP(Table1[[#This Row],[SAP]],'Location List'!B:B,'Location List'!G:G)</f>
        <v>SA SOUTH</v>
      </c>
      <c r="B23" s="10" t="str">
        <f>LEFT(Table1[[#This Row],[Sap: Loaction]],4)</f>
        <v>2074</v>
      </c>
      <c r="C23" s="7" t="s">
        <v>506</v>
      </c>
      <c r="D23" s="7" t="s">
        <v>542</v>
      </c>
      <c r="E23" s="6">
        <v>2</v>
      </c>
      <c r="F23" s="6">
        <v>109</v>
      </c>
      <c r="G23" s="7">
        <v>145.1</v>
      </c>
      <c r="H23" s="7" t="s">
        <v>471</v>
      </c>
      <c r="I23" s="4">
        <v>18.698699999999999</v>
      </c>
      <c r="J23" s="4">
        <v>39.997219251336894</v>
      </c>
      <c r="K23" s="5">
        <v>0.46750000000000003</v>
      </c>
      <c r="L23" s="6">
        <v>240</v>
      </c>
      <c r="M23" s="7">
        <v>56</v>
      </c>
      <c r="N23" s="7">
        <v>64.322000000000003</v>
      </c>
      <c r="O23" s="5">
        <v>0.87060000000000004</v>
      </c>
      <c r="P23" s="6">
        <v>149</v>
      </c>
      <c r="Q23" s="7">
        <v>82</v>
      </c>
      <c r="R23" s="7">
        <v>548</v>
      </c>
      <c r="S23" s="5">
        <v>0.14963503649635038</v>
      </c>
      <c r="T23" s="5">
        <v>0.23999203928845286</v>
      </c>
      <c r="U23" s="5">
        <v>0.62350000000000005</v>
      </c>
      <c r="V23" s="6">
        <v>256</v>
      </c>
      <c r="W23" s="5">
        <v>1.2896818710409337</v>
      </c>
      <c r="X23" s="6">
        <v>146</v>
      </c>
      <c r="Y23" s="7">
        <v>10</v>
      </c>
      <c r="Z23" s="6">
        <v>1</v>
      </c>
      <c r="AA23" s="7">
        <v>8</v>
      </c>
      <c r="AB23" s="7">
        <v>31</v>
      </c>
      <c r="AC23" s="5">
        <v>0.25806451612903225</v>
      </c>
      <c r="AD23" s="5">
        <v>0.1</v>
      </c>
      <c r="AE23" s="5">
        <v>2.5806</v>
      </c>
      <c r="AF23" s="6">
        <v>23</v>
      </c>
      <c r="AG23" s="5">
        <v>0.34021133333333337</v>
      </c>
      <c r="AH23" s="5">
        <v>0.4</v>
      </c>
      <c r="AI23" s="5">
        <v>0.85050000000000003</v>
      </c>
      <c r="AJ23" s="6">
        <v>144</v>
      </c>
      <c r="AK23" s="7">
        <v>18</v>
      </c>
      <c r="AL23" s="7">
        <v>22</v>
      </c>
      <c r="AM23" s="5">
        <v>0.81818181818181823</v>
      </c>
      <c r="AN23" s="5">
        <v>0.8</v>
      </c>
      <c r="AO23" s="5">
        <v>1.0226999999999999</v>
      </c>
      <c r="AP23" s="6">
        <v>158</v>
      </c>
    </row>
    <row r="24" spans="1:42">
      <c r="A24" s="10" t="str">
        <f>_xlfn.XLOOKUP(Table1[[#This Row],[SAP]],'Location List'!B:B,'Location List'!G:G)</f>
        <v>SA/HILL COUNTRY</v>
      </c>
      <c r="B24" s="10" t="str">
        <f>LEFT(Table1[[#This Row],[Sap: Loaction]],4)</f>
        <v>569D</v>
      </c>
      <c r="C24" s="7" t="s">
        <v>506</v>
      </c>
      <c r="D24" s="7" t="s">
        <v>543</v>
      </c>
      <c r="E24" s="6">
        <v>2</v>
      </c>
      <c r="F24" s="6">
        <v>113</v>
      </c>
      <c r="G24" s="7">
        <v>147.69999999999999</v>
      </c>
      <c r="H24" s="7" t="s">
        <v>471</v>
      </c>
      <c r="I24" s="4">
        <v>23.8355</v>
      </c>
      <c r="J24" s="4">
        <v>35.000734214390597</v>
      </c>
      <c r="K24" s="5">
        <v>0.68100000000000005</v>
      </c>
      <c r="L24" s="6">
        <v>173</v>
      </c>
      <c r="M24" s="7">
        <v>13</v>
      </c>
      <c r="N24" s="7">
        <v>29.263999999999999</v>
      </c>
      <c r="O24" s="5">
        <v>0.44419999999999998</v>
      </c>
      <c r="P24" s="6">
        <v>314</v>
      </c>
      <c r="Q24" s="7">
        <v>40</v>
      </c>
      <c r="R24" s="7">
        <v>318</v>
      </c>
      <c r="S24" s="5">
        <v>0.12578616352201258</v>
      </c>
      <c r="T24" s="5">
        <v>0.24000412807100283</v>
      </c>
      <c r="U24" s="5">
        <v>0.52410000000000001</v>
      </c>
      <c r="V24" s="6">
        <v>306</v>
      </c>
      <c r="W24" s="5">
        <v>1.4615648432103727</v>
      </c>
      <c r="X24" s="6">
        <v>100</v>
      </c>
      <c r="Y24" s="7">
        <v>10</v>
      </c>
      <c r="Z24" s="6">
        <v>1</v>
      </c>
      <c r="AA24" s="7">
        <v>7</v>
      </c>
      <c r="AB24" s="7">
        <v>66</v>
      </c>
      <c r="AC24" s="5">
        <v>0.10606060606060606</v>
      </c>
      <c r="AD24" s="5">
        <v>0.1</v>
      </c>
      <c r="AE24" s="5">
        <v>1.0606</v>
      </c>
      <c r="AF24" s="6">
        <v>117</v>
      </c>
      <c r="AG24" s="5">
        <v>0.64285700000000001</v>
      </c>
      <c r="AH24" s="5">
        <v>0.4</v>
      </c>
      <c r="AI24" s="5">
        <v>1.6071</v>
      </c>
      <c r="AJ24" s="6">
        <v>10</v>
      </c>
      <c r="AK24" s="7">
        <v>8</v>
      </c>
      <c r="AL24" s="7">
        <v>8</v>
      </c>
      <c r="AM24" s="5">
        <v>1</v>
      </c>
      <c r="AN24" s="5">
        <v>0.8</v>
      </c>
      <c r="AO24" s="5">
        <v>1.25</v>
      </c>
      <c r="AP24" s="6">
        <v>1</v>
      </c>
    </row>
    <row r="25" spans="1:42">
      <c r="A25" s="10" t="str">
        <f>_xlfn.XLOOKUP(Table1[[#This Row],[SAP]],'Location List'!B:B,'Location List'!G:G)</f>
        <v>WEST TEXAS</v>
      </c>
      <c r="B25" s="10" t="str">
        <f>LEFT(Table1[[#This Row],[Sap: Loaction]],4)</f>
        <v>903E</v>
      </c>
      <c r="C25" s="7" t="s">
        <v>506</v>
      </c>
      <c r="D25" s="7" t="s">
        <v>544</v>
      </c>
      <c r="E25" s="6">
        <v>2</v>
      </c>
      <c r="F25" s="6">
        <v>118</v>
      </c>
      <c r="G25" s="7">
        <v>150.15</v>
      </c>
      <c r="H25" s="7" t="s">
        <v>471</v>
      </c>
      <c r="I25" s="4">
        <v>31.040199999999999</v>
      </c>
      <c r="J25" s="4">
        <v>29.999226829032569</v>
      </c>
      <c r="K25" s="5">
        <v>1.0347</v>
      </c>
      <c r="L25" s="6">
        <v>69</v>
      </c>
      <c r="M25" s="7">
        <v>17</v>
      </c>
      <c r="N25" s="7">
        <v>24.998000000000001</v>
      </c>
      <c r="O25" s="5">
        <v>0.68010000000000004</v>
      </c>
      <c r="P25" s="6">
        <v>227</v>
      </c>
      <c r="Q25" s="7">
        <v>35</v>
      </c>
      <c r="R25" s="7">
        <v>247</v>
      </c>
      <c r="S25" s="5">
        <v>0.1417004048582996</v>
      </c>
      <c r="T25" s="5">
        <v>0.24000746080335297</v>
      </c>
      <c r="U25" s="5">
        <v>0.59040000000000004</v>
      </c>
      <c r="V25" s="6">
        <v>275</v>
      </c>
      <c r="W25" s="5">
        <v>2.4232135079043786</v>
      </c>
      <c r="X25" s="6">
        <v>9</v>
      </c>
      <c r="Y25" s="7">
        <v>10</v>
      </c>
      <c r="Z25" s="6">
        <v>1</v>
      </c>
      <c r="AA25" s="7">
        <v>2</v>
      </c>
      <c r="AB25" s="7">
        <v>40</v>
      </c>
      <c r="AC25" s="5">
        <v>0.05</v>
      </c>
      <c r="AD25" s="5">
        <v>0.1</v>
      </c>
      <c r="AE25" s="5">
        <v>0.5</v>
      </c>
      <c r="AF25" s="6">
        <v>226</v>
      </c>
      <c r="AG25" s="5">
        <v>0.36868666666666666</v>
      </c>
      <c r="AH25" s="5">
        <v>0.4</v>
      </c>
      <c r="AI25" s="5">
        <v>0.92169999999999996</v>
      </c>
      <c r="AJ25" s="6">
        <v>118</v>
      </c>
      <c r="AK25" s="7">
        <v>11</v>
      </c>
      <c r="AL25" s="7">
        <v>14</v>
      </c>
      <c r="AM25" s="5">
        <v>0.7857142857142857</v>
      </c>
      <c r="AN25" s="5">
        <v>0.8</v>
      </c>
      <c r="AO25" s="5">
        <v>0.98209999999999997</v>
      </c>
      <c r="AP25" s="6">
        <v>178</v>
      </c>
    </row>
    <row r="26" spans="1:42">
      <c r="A26" s="10" t="str">
        <f>_xlfn.XLOOKUP(Table1[[#This Row],[SAP]],'Location List'!B:B,'Location List'!G:G)</f>
        <v>SA/HILL COUNTRY</v>
      </c>
      <c r="B26" s="10" t="str">
        <f>LEFT(Table1[[#This Row],[Sap: Loaction]],4)</f>
        <v>1ESB</v>
      </c>
      <c r="C26" s="7" t="s">
        <v>506</v>
      </c>
      <c r="D26" s="7" t="s">
        <v>545</v>
      </c>
      <c r="E26" s="6">
        <v>2</v>
      </c>
      <c r="F26" s="6">
        <v>127</v>
      </c>
      <c r="G26" s="7">
        <v>154.19999999999999</v>
      </c>
      <c r="H26" s="7" t="s">
        <v>471</v>
      </c>
      <c r="I26" s="4">
        <v>45.920099999999998</v>
      </c>
      <c r="J26" s="4">
        <v>40.000087108013936</v>
      </c>
      <c r="K26" s="5">
        <v>1.1479999999999999</v>
      </c>
      <c r="L26" s="6">
        <v>44</v>
      </c>
      <c r="M26" s="7">
        <v>74</v>
      </c>
      <c r="N26" s="7">
        <v>60.051000000000002</v>
      </c>
      <c r="O26" s="5">
        <v>1.2323</v>
      </c>
      <c r="P26" s="6">
        <v>40</v>
      </c>
      <c r="Q26" s="7">
        <v>110</v>
      </c>
      <c r="R26" s="7">
        <v>587</v>
      </c>
      <c r="S26" s="5">
        <v>0.18739352640545145</v>
      </c>
      <c r="T26" s="5">
        <v>0.24000195492501467</v>
      </c>
      <c r="U26" s="5">
        <v>0.78080000000000005</v>
      </c>
      <c r="V26" s="6">
        <v>145</v>
      </c>
      <c r="W26" s="5">
        <v>1.2317020477215899</v>
      </c>
      <c r="X26" s="6">
        <v>164</v>
      </c>
      <c r="Y26" s="7">
        <v>6.6666999999999996</v>
      </c>
      <c r="Z26" s="6">
        <v>340</v>
      </c>
      <c r="AA26" s="7">
        <v>7</v>
      </c>
      <c r="AB26" s="7">
        <v>57</v>
      </c>
      <c r="AC26" s="5">
        <v>0.12280701754385964</v>
      </c>
      <c r="AD26" s="5">
        <v>0.1</v>
      </c>
      <c r="AE26" s="5">
        <v>1.2281</v>
      </c>
      <c r="AF26" s="6">
        <v>97</v>
      </c>
      <c r="AG26" s="5">
        <v>0.14529866666666666</v>
      </c>
      <c r="AH26" s="5">
        <v>0.4</v>
      </c>
      <c r="AI26" s="5">
        <v>0.36320000000000002</v>
      </c>
      <c r="AJ26" s="6">
        <v>322</v>
      </c>
      <c r="AK26" s="7">
        <v>8</v>
      </c>
      <c r="AL26" s="7">
        <v>12</v>
      </c>
      <c r="AM26" s="5">
        <v>0.66666666666666663</v>
      </c>
      <c r="AN26" s="5">
        <v>0.8</v>
      </c>
      <c r="AO26" s="5">
        <v>0.83330000000000004</v>
      </c>
      <c r="AP26" s="6">
        <v>227</v>
      </c>
    </row>
    <row r="27" spans="1:42">
      <c r="A27" s="10" t="str">
        <f>_xlfn.XLOOKUP(Table1[[#This Row],[SAP]],'Location List'!B:B,'Location List'!G:G)</f>
        <v>SA/HILL COUNTRY</v>
      </c>
      <c r="B27" s="10" t="str">
        <f>LEFT(Table1[[#This Row],[Sap: Loaction]],4)</f>
        <v>776D</v>
      </c>
      <c r="C27" s="7" t="s">
        <v>506</v>
      </c>
      <c r="D27" s="7" t="s">
        <v>546</v>
      </c>
      <c r="E27" s="6">
        <v>2</v>
      </c>
      <c r="F27" s="6">
        <v>132</v>
      </c>
      <c r="G27" s="7">
        <v>155.05000000000001</v>
      </c>
      <c r="H27" s="7" t="s">
        <v>471</v>
      </c>
      <c r="I27" s="4">
        <v>21.968299999999999</v>
      </c>
      <c r="J27" s="4">
        <v>34.998088258722319</v>
      </c>
      <c r="K27" s="5">
        <v>0.62770000000000004</v>
      </c>
      <c r="L27" s="6">
        <v>186</v>
      </c>
      <c r="M27" s="7">
        <v>41</v>
      </c>
      <c r="N27" s="7">
        <v>48.162999999999997</v>
      </c>
      <c r="O27" s="5">
        <v>0.85129999999999995</v>
      </c>
      <c r="P27" s="6">
        <v>157</v>
      </c>
      <c r="Q27" s="7">
        <v>52</v>
      </c>
      <c r="R27" s="7">
        <v>319</v>
      </c>
      <c r="S27" s="5">
        <v>0.16300940438871472</v>
      </c>
      <c r="T27" s="5">
        <v>0.24000206771012178</v>
      </c>
      <c r="U27" s="5">
        <v>0.67920000000000003</v>
      </c>
      <c r="V27" s="6">
        <v>216</v>
      </c>
      <c r="W27" s="5">
        <v>1.3229276943649801</v>
      </c>
      <c r="X27" s="6">
        <v>139</v>
      </c>
      <c r="Y27" s="7">
        <v>10</v>
      </c>
      <c r="Z27" s="6">
        <v>1</v>
      </c>
      <c r="AA27" s="7">
        <v>7</v>
      </c>
      <c r="AB27" s="7">
        <v>51</v>
      </c>
      <c r="AC27" s="5">
        <v>0.13725490196078433</v>
      </c>
      <c r="AD27" s="5">
        <v>0.1</v>
      </c>
      <c r="AE27" s="5">
        <v>1.3725000000000001</v>
      </c>
      <c r="AF27" s="6">
        <v>84</v>
      </c>
      <c r="AG27" s="5">
        <v>0.15962766666666667</v>
      </c>
      <c r="AH27" s="5">
        <v>0.4</v>
      </c>
      <c r="AI27" s="5">
        <v>0.39910000000000001</v>
      </c>
      <c r="AJ27" s="6">
        <v>312</v>
      </c>
      <c r="AK27" s="7">
        <v>6</v>
      </c>
      <c r="AL27" s="7">
        <v>7</v>
      </c>
      <c r="AM27" s="5">
        <v>0.8571428571428571</v>
      </c>
      <c r="AN27" s="5">
        <v>0.8</v>
      </c>
      <c r="AO27" s="5">
        <v>1.0713999999999999</v>
      </c>
      <c r="AP27" s="6">
        <v>134</v>
      </c>
    </row>
    <row r="28" spans="1:42">
      <c r="A28" s="10" t="str">
        <f>_xlfn.XLOOKUP(Table1[[#This Row],[SAP]],'Location List'!B:B,'Location List'!G:G)</f>
        <v>WEST TEXAS</v>
      </c>
      <c r="B28" s="10" t="str">
        <f>LEFT(Table1[[#This Row],[Sap: Loaction]],4)</f>
        <v>1FSX</v>
      </c>
      <c r="C28" s="7" t="s">
        <v>506</v>
      </c>
      <c r="D28" s="7" t="s">
        <v>547</v>
      </c>
      <c r="E28" s="6">
        <v>2</v>
      </c>
      <c r="F28" s="6">
        <v>133</v>
      </c>
      <c r="G28" s="7">
        <v>155.75</v>
      </c>
      <c r="H28" s="7" t="s">
        <v>471</v>
      </c>
      <c r="I28" s="4">
        <v>20.371099999999998</v>
      </c>
      <c r="J28" s="4">
        <v>30.001620029455076</v>
      </c>
      <c r="K28" s="5">
        <v>0.67900000000000005</v>
      </c>
      <c r="L28" s="6">
        <v>174</v>
      </c>
      <c r="M28" s="7">
        <v>16</v>
      </c>
      <c r="N28" s="7">
        <v>22.251999999999999</v>
      </c>
      <c r="O28" s="5">
        <v>0.71899999999999997</v>
      </c>
      <c r="P28" s="6">
        <v>213</v>
      </c>
      <c r="Q28" s="7">
        <v>37</v>
      </c>
      <c r="R28" s="7">
        <v>210</v>
      </c>
      <c r="S28" s="5">
        <v>0.1761904761904762</v>
      </c>
      <c r="T28" s="5">
        <v>0.24000882194588777</v>
      </c>
      <c r="U28" s="5">
        <v>0.73409999999999997</v>
      </c>
      <c r="V28" s="6">
        <v>176</v>
      </c>
      <c r="W28" s="5">
        <v>0.51179192438161447</v>
      </c>
      <c r="X28" s="6">
        <v>345</v>
      </c>
      <c r="Y28" s="7">
        <v>10</v>
      </c>
      <c r="Z28" s="6">
        <v>1</v>
      </c>
      <c r="AA28" s="7">
        <v>3</v>
      </c>
      <c r="AB28" s="7">
        <v>27</v>
      </c>
      <c r="AC28" s="5">
        <v>0.1111111111111111</v>
      </c>
      <c r="AD28" s="5">
        <v>0.1</v>
      </c>
      <c r="AE28" s="5">
        <v>1.1111</v>
      </c>
      <c r="AF28" s="6">
        <v>110</v>
      </c>
      <c r="AG28" s="5">
        <v>0.27777766666666664</v>
      </c>
      <c r="AH28" s="5">
        <v>0.4</v>
      </c>
      <c r="AI28" s="5">
        <v>0.69440000000000002</v>
      </c>
      <c r="AJ28" s="6">
        <v>201</v>
      </c>
      <c r="AK28" s="7">
        <v>1</v>
      </c>
      <c r="AL28" s="7">
        <v>1</v>
      </c>
      <c r="AM28" s="5">
        <v>1</v>
      </c>
      <c r="AN28" s="5">
        <v>0.8</v>
      </c>
      <c r="AO28" s="5">
        <v>1.25</v>
      </c>
      <c r="AP28" s="6">
        <v>1</v>
      </c>
    </row>
    <row r="29" spans="1:42">
      <c r="A29" s="10" t="str">
        <f>_xlfn.XLOOKUP(Table1[[#This Row],[SAP]],'Location List'!B:B,'Location List'!G:G)</f>
        <v>WEST TEXAS</v>
      </c>
      <c r="B29" s="10" t="str">
        <f>LEFT(Table1[[#This Row],[Sap: Loaction]],4)</f>
        <v>705D</v>
      </c>
      <c r="C29" s="7" t="s">
        <v>506</v>
      </c>
      <c r="D29" s="7" t="s">
        <v>548</v>
      </c>
      <c r="E29" s="6">
        <v>2</v>
      </c>
      <c r="F29" s="6">
        <v>135</v>
      </c>
      <c r="G29" s="7">
        <v>156.25</v>
      </c>
      <c r="H29" s="7" t="s">
        <v>471</v>
      </c>
      <c r="I29" s="4">
        <v>47.290399999999998</v>
      </c>
      <c r="J29" s="4">
        <v>39.998646705573883</v>
      </c>
      <c r="K29" s="5">
        <v>1.1822999999999999</v>
      </c>
      <c r="L29" s="6">
        <v>41</v>
      </c>
      <c r="M29" s="7">
        <v>41</v>
      </c>
      <c r="N29" s="7">
        <v>52.128999999999998</v>
      </c>
      <c r="O29" s="5">
        <v>0.78649999999999998</v>
      </c>
      <c r="P29" s="6">
        <v>182</v>
      </c>
      <c r="Q29" s="7">
        <v>73</v>
      </c>
      <c r="R29" s="7">
        <v>394</v>
      </c>
      <c r="S29" s="5">
        <v>0.18527918781725888</v>
      </c>
      <c r="T29" s="5">
        <v>0.23999894794981719</v>
      </c>
      <c r="U29" s="5">
        <v>0.77200000000000002</v>
      </c>
      <c r="V29" s="6">
        <v>153</v>
      </c>
      <c r="W29" s="5">
        <v>1.8535419320968849</v>
      </c>
      <c r="X29" s="6">
        <v>35</v>
      </c>
      <c r="Y29" s="7">
        <v>5.7142999999999997</v>
      </c>
      <c r="Z29" s="6">
        <v>351</v>
      </c>
      <c r="AA29" s="7">
        <v>3</v>
      </c>
      <c r="AB29" s="7">
        <v>44</v>
      </c>
      <c r="AC29" s="5">
        <v>6.8181818181818177E-2</v>
      </c>
      <c r="AD29" s="5">
        <v>0.1</v>
      </c>
      <c r="AE29" s="5">
        <v>0.68179999999999996</v>
      </c>
      <c r="AF29" s="6">
        <v>179</v>
      </c>
      <c r="AG29" s="5">
        <v>0.39583300000000005</v>
      </c>
      <c r="AH29" s="5">
        <v>0.4</v>
      </c>
      <c r="AI29" s="5">
        <v>0.98960000000000004</v>
      </c>
      <c r="AJ29" s="6">
        <v>93</v>
      </c>
      <c r="AK29" s="7">
        <v>14</v>
      </c>
      <c r="AL29" s="7">
        <v>23</v>
      </c>
      <c r="AM29" s="5">
        <v>0.60869565217391308</v>
      </c>
      <c r="AN29" s="5">
        <v>0.8</v>
      </c>
      <c r="AO29" s="5">
        <v>0.76090000000000002</v>
      </c>
      <c r="AP29" s="6">
        <v>251</v>
      </c>
    </row>
    <row r="30" spans="1:42">
      <c r="A30" s="10" t="str">
        <f>_xlfn.XLOOKUP(Table1[[#This Row],[SAP]],'Location List'!B:B,'Location List'!G:G)</f>
        <v>SA SOUTH</v>
      </c>
      <c r="B30" s="10" t="str">
        <f>LEFT(Table1[[#This Row],[Sap: Loaction]],4)</f>
        <v>1ESL</v>
      </c>
      <c r="C30" s="7" t="s">
        <v>506</v>
      </c>
      <c r="D30" s="7" t="s">
        <v>549</v>
      </c>
      <c r="E30" s="6">
        <v>2</v>
      </c>
      <c r="F30" s="6">
        <v>139</v>
      </c>
      <c r="G30" s="7">
        <v>158.1</v>
      </c>
      <c r="H30" s="7" t="s">
        <v>471</v>
      </c>
      <c r="I30" s="4">
        <v>10.8355</v>
      </c>
      <c r="J30" s="4">
        <v>34.998385012919897</v>
      </c>
      <c r="K30" s="5">
        <v>0.30959999999999999</v>
      </c>
      <c r="L30" s="6">
        <v>281</v>
      </c>
      <c r="M30" s="7">
        <v>44</v>
      </c>
      <c r="N30" s="7">
        <v>47.555</v>
      </c>
      <c r="O30" s="5">
        <v>0.92520000000000002</v>
      </c>
      <c r="P30" s="6">
        <v>128</v>
      </c>
      <c r="Q30" s="7">
        <v>66</v>
      </c>
      <c r="R30" s="7">
        <v>495</v>
      </c>
      <c r="S30" s="5">
        <v>0.13333333333333333</v>
      </c>
      <c r="T30" s="5">
        <v>0.18000990054452995</v>
      </c>
      <c r="U30" s="5">
        <v>0.74070000000000003</v>
      </c>
      <c r="V30" s="6">
        <v>170</v>
      </c>
      <c r="W30" s="5">
        <v>2.1611668251175584</v>
      </c>
      <c r="X30" s="6">
        <v>17</v>
      </c>
      <c r="Y30" s="7">
        <v>10</v>
      </c>
      <c r="Z30" s="6">
        <v>1</v>
      </c>
      <c r="AA30" s="7">
        <v>5</v>
      </c>
      <c r="AB30" s="7">
        <v>30</v>
      </c>
      <c r="AC30" s="5">
        <v>0.16666666666666666</v>
      </c>
      <c r="AD30" s="5">
        <v>0.1</v>
      </c>
      <c r="AE30" s="5">
        <v>1.6667000000000001</v>
      </c>
      <c r="AF30" s="6">
        <v>63</v>
      </c>
      <c r="AG30" s="5">
        <v>0.21296266666666666</v>
      </c>
      <c r="AH30" s="5">
        <v>0.4</v>
      </c>
      <c r="AI30" s="5">
        <v>0.53239999999999998</v>
      </c>
      <c r="AJ30" s="6">
        <v>262</v>
      </c>
      <c r="AK30" s="7">
        <v>1</v>
      </c>
      <c r="AL30" s="7">
        <v>17</v>
      </c>
      <c r="AM30" s="5">
        <v>5.8823529411764705E-2</v>
      </c>
      <c r="AN30" s="5">
        <v>0.8</v>
      </c>
      <c r="AO30" s="5">
        <v>7.3499999999999996E-2</v>
      </c>
      <c r="AP30" s="6">
        <v>338</v>
      </c>
    </row>
    <row r="31" spans="1:42">
      <c r="A31" s="10" t="str">
        <f>_xlfn.XLOOKUP(Table1[[#This Row],[SAP]],'Location List'!B:B,'Location List'!G:G)</f>
        <v>CENTRAL TEXAS</v>
      </c>
      <c r="B31" s="10" t="str">
        <f>LEFT(Table1[[#This Row],[Sap: Loaction]],4)</f>
        <v>1FSI</v>
      </c>
      <c r="C31" s="7" t="s">
        <v>506</v>
      </c>
      <c r="D31" s="7" t="s">
        <v>550</v>
      </c>
      <c r="E31" s="6">
        <v>2</v>
      </c>
      <c r="F31" s="6">
        <v>141</v>
      </c>
      <c r="G31" s="7">
        <v>159.85</v>
      </c>
      <c r="H31" s="7" t="s">
        <v>471</v>
      </c>
      <c r="I31" s="4">
        <v>18.581</v>
      </c>
      <c r="J31" s="4">
        <v>34.999058203051419</v>
      </c>
      <c r="K31" s="5">
        <v>0.53090000000000004</v>
      </c>
      <c r="L31" s="6">
        <v>219</v>
      </c>
      <c r="M31" s="7">
        <v>19</v>
      </c>
      <c r="N31" s="7">
        <v>39.932000000000002</v>
      </c>
      <c r="O31" s="5">
        <v>0.4758</v>
      </c>
      <c r="P31" s="6">
        <v>307</v>
      </c>
      <c r="Q31" s="7">
        <v>54</v>
      </c>
      <c r="R31" s="7">
        <v>327</v>
      </c>
      <c r="S31" s="5">
        <v>0.16513761467889909</v>
      </c>
      <c r="T31" s="5">
        <v>0.2399907203588128</v>
      </c>
      <c r="U31" s="5">
        <v>0.68810000000000004</v>
      </c>
      <c r="V31" s="6">
        <v>205</v>
      </c>
      <c r="W31" s="5">
        <v>1.7887094558191736</v>
      </c>
      <c r="X31" s="6">
        <v>45</v>
      </c>
      <c r="Y31" s="7">
        <v>9.9375</v>
      </c>
      <c r="Z31" s="6">
        <v>76</v>
      </c>
      <c r="AA31" s="7">
        <v>3</v>
      </c>
      <c r="AB31" s="7">
        <v>27</v>
      </c>
      <c r="AC31" s="5">
        <v>0.1111111111111111</v>
      </c>
      <c r="AD31" s="5">
        <v>0.1</v>
      </c>
      <c r="AE31" s="5">
        <v>1.1111</v>
      </c>
      <c r="AF31" s="6">
        <v>110</v>
      </c>
      <c r="AG31" s="5">
        <v>0.39393899999999998</v>
      </c>
      <c r="AH31" s="5">
        <v>0.4</v>
      </c>
      <c r="AI31" s="5">
        <v>0.98480000000000001</v>
      </c>
      <c r="AJ31" s="6">
        <v>94</v>
      </c>
      <c r="AK31" s="7">
        <v>14</v>
      </c>
      <c r="AL31" s="7">
        <v>16</v>
      </c>
      <c r="AM31" s="5">
        <v>0.875</v>
      </c>
      <c r="AN31" s="5">
        <v>0.8</v>
      </c>
      <c r="AO31" s="5">
        <v>1.0938000000000001</v>
      </c>
      <c r="AP31" s="6">
        <v>122</v>
      </c>
    </row>
    <row r="32" spans="1:42">
      <c r="A32" s="10" t="str">
        <f>_xlfn.XLOOKUP(Table1[[#This Row],[SAP]],'Location List'!B:B,'Location List'!G:G)</f>
        <v>KS/OK</v>
      </c>
      <c r="B32" s="10" t="str">
        <f>LEFT(Table1[[#This Row],[Sap: Loaction]],4)</f>
        <v>4320</v>
      </c>
      <c r="C32" s="7" t="s">
        <v>506</v>
      </c>
      <c r="D32" s="7" t="s">
        <v>551</v>
      </c>
      <c r="E32" s="6">
        <v>2</v>
      </c>
      <c r="F32" s="6">
        <v>142</v>
      </c>
      <c r="G32" s="7">
        <v>160.35</v>
      </c>
      <c r="H32" s="7" t="s">
        <v>471</v>
      </c>
      <c r="I32" s="4">
        <v>37.302199999999999</v>
      </c>
      <c r="J32" s="4">
        <v>39.998069912073774</v>
      </c>
      <c r="K32" s="5">
        <v>0.93259999999999998</v>
      </c>
      <c r="L32" s="6">
        <v>100</v>
      </c>
      <c r="M32" s="7">
        <v>39</v>
      </c>
      <c r="N32" s="7">
        <v>61.271999999999998</v>
      </c>
      <c r="O32" s="5">
        <v>0.63649999999999995</v>
      </c>
      <c r="P32" s="6">
        <v>246</v>
      </c>
      <c r="Q32" s="7">
        <v>59</v>
      </c>
      <c r="R32" s="7">
        <v>343</v>
      </c>
      <c r="S32" s="5">
        <v>0.17201166180758018</v>
      </c>
      <c r="T32" s="5">
        <v>0.24000510926130902</v>
      </c>
      <c r="U32" s="5">
        <v>0.7167</v>
      </c>
      <c r="V32" s="6">
        <v>187</v>
      </c>
      <c r="W32" s="5">
        <v>0.67041222139824252</v>
      </c>
      <c r="X32" s="6">
        <v>325</v>
      </c>
      <c r="Y32" s="7">
        <v>9.0908999999999995</v>
      </c>
      <c r="Z32" s="6">
        <v>186</v>
      </c>
      <c r="AA32" s="7">
        <v>5</v>
      </c>
      <c r="AB32" s="7">
        <v>29</v>
      </c>
      <c r="AC32" s="5">
        <v>0.17241379310344829</v>
      </c>
      <c r="AD32" s="5">
        <v>0.1</v>
      </c>
      <c r="AE32" s="5">
        <v>1.7241</v>
      </c>
      <c r="AF32" s="6">
        <v>58</v>
      </c>
      <c r="AG32" s="5">
        <v>0.40980366666666668</v>
      </c>
      <c r="AH32" s="5">
        <v>0.4</v>
      </c>
      <c r="AI32" s="5">
        <v>1.0245</v>
      </c>
      <c r="AJ32" s="6">
        <v>84</v>
      </c>
      <c r="AK32" s="7">
        <v>7</v>
      </c>
      <c r="AL32" s="7">
        <v>8</v>
      </c>
      <c r="AM32" s="5">
        <v>0.875</v>
      </c>
      <c r="AN32" s="5">
        <v>0.8</v>
      </c>
      <c r="AO32" s="5">
        <v>1.0938000000000001</v>
      </c>
      <c r="AP32" s="6">
        <v>122</v>
      </c>
    </row>
    <row r="33" spans="1:42">
      <c r="A33" s="10" t="str">
        <f>_xlfn.XLOOKUP(Table1[[#This Row],[SAP]],'Location List'!B:B,'Location List'!G:G)</f>
        <v>SA SOUTH</v>
      </c>
      <c r="B33" s="10" t="str">
        <f>LEFT(Table1[[#This Row],[Sap: Loaction]],4)</f>
        <v>221D</v>
      </c>
      <c r="C33" s="7" t="s">
        <v>506</v>
      </c>
      <c r="D33" s="7" t="s">
        <v>552</v>
      </c>
      <c r="E33" s="6">
        <v>2</v>
      </c>
      <c r="F33" s="6">
        <v>144</v>
      </c>
      <c r="G33" s="7">
        <v>160.6</v>
      </c>
      <c r="H33" s="7" t="s">
        <v>471</v>
      </c>
      <c r="I33" s="4">
        <v>42.421100000000003</v>
      </c>
      <c r="J33" s="4">
        <v>40.001037246581802</v>
      </c>
      <c r="K33" s="5">
        <v>1.0605</v>
      </c>
      <c r="L33" s="6">
        <v>60</v>
      </c>
      <c r="M33" s="7">
        <v>46</v>
      </c>
      <c r="N33" s="7">
        <v>50.908000000000001</v>
      </c>
      <c r="O33" s="5">
        <v>0.90359999999999996</v>
      </c>
      <c r="P33" s="6">
        <v>137</v>
      </c>
      <c r="Q33" s="7">
        <v>90</v>
      </c>
      <c r="R33" s="7">
        <v>556</v>
      </c>
      <c r="S33" s="5">
        <v>0.16187050359712229</v>
      </c>
      <c r="T33" s="5">
        <v>0.23998592082597819</v>
      </c>
      <c r="U33" s="5">
        <v>0.67449999999999999</v>
      </c>
      <c r="V33" s="6">
        <v>219</v>
      </c>
      <c r="W33" s="5">
        <v>1.2860913533396228</v>
      </c>
      <c r="X33" s="6">
        <v>147</v>
      </c>
      <c r="Y33" s="7">
        <v>9.5714000000000006</v>
      </c>
      <c r="Z33" s="6">
        <v>137</v>
      </c>
      <c r="AA33" s="7">
        <v>3</v>
      </c>
      <c r="AB33" s="7">
        <v>63</v>
      </c>
      <c r="AC33" s="5">
        <v>4.7619047619047616E-2</v>
      </c>
      <c r="AD33" s="5">
        <v>0.1</v>
      </c>
      <c r="AE33" s="5">
        <v>0.47620000000000001</v>
      </c>
      <c r="AF33" s="6">
        <v>228</v>
      </c>
      <c r="AG33" s="5">
        <v>0.28966066666666668</v>
      </c>
      <c r="AH33" s="5">
        <v>0.4</v>
      </c>
      <c r="AI33" s="5">
        <v>0.72419999999999995</v>
      </c>
      <c r="AJ33" s="6">
        <v>191</v>
      </c>
      <c r="AK33" s="7">
        <v>20</v>
      </c>
      <c r="AL33" s="7">
        <v>25</v>
      </c>
      <c r="AM33" s="5">
        <v>0.8</v>
      </c>
      <c r="AN33" s="5">
        <v>0.8</v>
      </c>
      <c r="AO33" s="5">
        <v>1</v>
      </c>
      <c r="AP33" s="6">
        <v>165</v>
      </c>
    </row>
    <row r="34" spans="1:42">
      <c r="A34" s="10" t="str">
        <f>_xlfn.XLOOKUP(Table1[[#This Row],[SAP]],'Location List'!B:B,'Location List'!G:G)</f>
        <v>KS/OK</v>
      </c>
      <c r="B34" s="10" t="str">
        <f>LEFT(Table1[[#This Row],[Sap: Loaction]],4)</f>
        <v>990F</v>
      </c>
      <c r="C34" s="7" t="s">
        <v>506</v>
      </c>
      <c r="D34" s="7" t="s">
        <v>553</v>
      </c>
      <c r="E34" s="6">
        <v>3</v>
      </c>
      <c r="F34" s="6">
        <v>145</v>
      </c>
      <c r="G34" s="7">
        <v>160.75</v>
      </c>
      <c r="H34" s="7" t="s">
        <v>471</v>
      </c>
      <c r="I34" s="4">
        <v>23.900600000000001</v>
      </c>
      <c r="J34" s="4">
        <v>40.001004184100417</v>
      </c>
      <c r="K34" s="5">
        <v>0.59750000000000003</v>
      </c>
      <c r="L34" s="6">
        <v>191</v>
      </c>
      <c r="M34" s="7">
        <v>56</v>
      </c>
      <c r="N34" s="7">
        <v>80.781000000000006</v>
      </c>
      <c r="O34" s="5">
        <v>0.69320000000000004</v>
      </c>
      <c r="P34" s="6">
        <v>223</v>
      </c>
      <c r="Q34" s="7">
        <v>68</v>
      </c>
      <c r="R34" s="7">
        <v>418</v>
      </c>
      <c r="S34" s="5">
        <v>0.16267942583732056</v>
      </c>
      <c r="T34" s="5">
        <v>0.24001095579421744</v>
      </c>
      <c r="U34" s="5">
        <v>0.67779999999999996</v>
      </c>
      <c r="V34" s="6">
        <v>218</v>
      </c>
      <c r="W34" s="5">
        <v>1.9370429939983509</v>
      </c>
      <c r="X34" s="6">
        <v>26</v>
      </c>
      <c r="Y34" s="7">
        <v>6.4375</v>
      </c>
      <c r="Z34" s="6">
        <v>345</v>
      </c>
      <c r="AA34" s="7">
        <v>5</v>
      </c>
      <c r="AB34" s="7">
        <v>26</v>
      </c>
      <c r="AC34" s="5">
        <v>0.19230769230769232</v>
      </c>
      <c r="AD34" s="5">
        <v>0.1</v>
      </c>
      <c r="AE34" s="5">
        <v>1.9231</v>
      </c>
      <c r="AF34" s="6">
        <v>43</v>
      </c>
      <c r="AG34" s="5">
        <v>0.26126100000000002</v>
      </c>
      <c r="AH34" s="5">
        <v>0.4</v>
      </c>
      <c r="AI34" s="5">
        <v>0.6532</v>
      </c>
      <c r="AJ34" s="6">
        <v>223</v>
      </c>
      <c r="AK34" s="7">
        <v>17</v>
      </c>
      <c r="AL34" s="7">
        <v>17</v>
      </c>
      <c r="AM34" s="5">
        <v>1</v>
      </c>
      <c r="AN34" s="5">
        <v>0.8</v>
      </c>
      <c r="AO34" s="5">
        <v>1.25</v>
      </c>
      <c r="AP34" s="6">
        <v>1</v>
      </c>
    </row>
    <row r="35" spans="1:42">
      <c r="A35" s="10" t="str">
        <f>_xlfn.XLOOKUP(Table1[[#This Row],[SAP]],'Location List'!B:B,'Location List'!G:G)</f>
        <v>CENTRAL TEXAS</v>
      </c>
      <c r="B35" s="10" t="str">
        <f>LEFT(Table1[[#This Row],[Sap: Loaction]],4)</f>
        <v>1FSU</v>
      </c>
      <c r="C35" s="7" t="s">
        <v>506</v>
      </c>
      <c r="D35" s="7" t="s">
        <v>554</v>
      </c>
      <c r="E35" s="6">
        <v>3</v>
      </c>
      <c r="F35" s="6">
        <v>151</v>
      </c>
      <c r="G35" s="7">
        <v>162.69999999999999</v>
      </c>
      <c r="H35" s="7" t="s">
        <v>471</v>
      </c>
      <c r="I35" s="4">
        <v>23.765499999999999</v>
      </c>
      <c r="J35" s="4">
        <v>29.999368846250945</v>
      </c>
      <c r="K35" s="5">
        <v>0.79220000000000002</v>
      </c>
      <c r="L35" s="6">
        <v>138</v>
      </c>
      <c r="M35" s="7">
        <v>24</v>
      </c>
      <c r="N35" s="7">
        <v>26.824999999999999</v>
      </c>
      <c r="O35" s="5">
        <v>0.89470000000000005</v>
      </c>
      <c r="P35" s="6">
        <v>143</v>
      </c>
      <c r="Q35" s="7">
        <v>46</v>
      </c>
      <c r="R35" s="7">
        <v>286</v>
      </c>
      <c r="S35" s="5">
        <v>0.16083916083916083</v>
      </c>
      <c r="T35" s="5">
        <v>0.23998681115959539</v>
      </c>
      <c r="U35" s="5">
        <v>0.67020000000000002</v>
      </c>
      <c r="V35" s="6">
        <v>222</v>
      </c>
      <c r="W35" s="5">
        <v>2.1823636460546258</v>
      </c>
      <c r="X35" s="6">
        <v>14</v>
      </c>
      <c r="Y35" s="7">
        <v>9.6667000000000005</v>
      </c>
      <c r="Z35" s="6">
        <v>127</v>
      </c>
      <c r="AA35" s="7">
        <v>3</v>
      </c>
      <c r="AB35" s="7">
        <v>57</v>
      </c>
      <c r="AC35" s="5">
        <v>5.2631578947368418E-2</v>
      </c>
      <c r="AD35" s="5">
        <v>0.1</v>
      </c>
      <c r="AE35" s="5">
        <v>0.52629999999999999</v>
      </c>
      <c r="AF35" s="6">
        <v>217</v>
      </c>
      <c r="AG35" s="5">
        <v>0.20370366666666664</v>
      </c>
      <c r="AH35" s="5">
        <v>0.4</v>
      </c>
      <c r="AI35" s="5">
        <v>0.50929999999999997</v>
      </c>
      <c r="AJ35" s="6">
        <v>272</v>
      </c>
      <c r="AK35" s="7">
        <v>6</v>
      </c>
      <c r="AL35" s="7">
        <v>7</v>
      </c>
      <c r="AM35" s="5">
        <v>0.8571428571428571</v>
      </c>
      <c r="AN35" s="5">
        <v>0.8</v>
      </c>
      <c r="AO35" s="5">
        <v>1.0713999999999999</v>
      </c>
      <c r="AP35" s="6">
        <v>134</v>
      </c>
    </row>
    <row r="36" spans="1:42">
      <c r="A36" s="10" t="str">
        <f>_xlfn.XLOOKUP(Table1[[#This Row],[SAP]],'Location List'!B:B,'Location List'!G:G)</f>
        <v>CENTRAL TEXAS</v>
      </c>
      <c r="B36" s="10" t="str">
        <f>LEFT(Table1[[#This Row],[Sap: Loaction]],4)</f>
        <v>1FSC</v>
      </c>
      <c r="C36" s="7" t="s">
        <v>506</v>
      </c>
      <c r="D36" s="7" t="s">
        <v>555</v>
      </c>
      <c r="E36" s="6">
        <v>3</v>
      </c>
      <c r="F36" s="6">
        <v>156</v>
      </c>
      <c r="G36" s="7">
        <v>164.35</v>
      </c>
      <c r="H36" s="7" t="s">
        <v>471</v>
      </c>
      <c r="I36" s="4">
        <v>34.015000000000001</v>
      </c>
      <c r="J36" s="4">
        <v>39.998824082784573</v>
      </c>
      <c r="K36" s="5">
        <v>0.85040000000000004</v>
      </c>
      <c r="L36" s="6">
        <v>124</v>
      </c>
      <c r="M36" s="7">
        <v>75</v>
      </c>
      <c r="N36" s="7">
        <v>55.48</v>
      </c>
      <c r="O36" s="5">
        <v>1.3517999999999999</v>
      </c>
      <c r="P36" s="6">
        <v>24</v>
      </c>
      <c r="Q36" s="7">
        <v>122</v>
      </c>
      <c r="R36" s="7">
        <v>499</v>
      </c>
      <c r="S36" s="5">
        <v>0.24448897795591182</v>
      </c>
      <c r="T36" s="5">
        <v>0.24000096000384002</v>
      </c>
      <c r="U36" s="5">
        <v>1.0186999999999999</v>
      </c>
      <c r="V36" s="6">
        <v>44</v>
      </c>
      <c r="W36" s="5">
        <v>0.94774710658444616</v>
      </c>
      <c r="X36" s="6">
        <v>253</v>
      </c>
      <c r="Y36" s="7">
        <v>6.6666999999999996</v>
      </c>
      <c r="Z36" s="6">
        <v>340</v>
      </c>
      <c r="AA36" s="7">
        <v>6</v>
      </c>
      <c r="AB36" s="7">
        <v>88</v>
      </c>
      <c r="AC36" s="5">
        <v>6.8181818181818177E-2</v>
      </c>
      <c r="AD36" s="5">
        <v>0.1</v>
      </c>
      <c r="AE36" s="5">
        <v>0.68179999999999996</v>
      </c>
      <c r="AF36" s="6">
        <v>179</v>
      </c>
      <c r="AG36" s="5">
        <v>0.17105233333333333</v>
      </c>
      <c r="AH36" s="5">
        <v>0.4</v>
      </c>
      <c r="AI36" s="5">
        <v>0.42759999999999998</v>
      </c>
      <c r="AJ36" s="6">
        <v>303</v>
      </c>
      <c r="AK36" s="7">
        <v>16</v>
      </c>
      <c r="AL36" s="7">
        <v>21</v>
      </c>
      <c r="AM36" s="5">
        <v>0.76190476190476186</v>
      </c>
      <c r="AN36" s="5">
        <v>0.8</v>
      </c>
      <c r="AO36" s="5">
        <v>0.95240000000000002</v>
      </c>
      <c r="AP36" s="6">
        <v>191</v>
      </c>
    </row>
    <row r="37" spans="1:42">
      <c r="A37" s="10" t="str">
        <f>_xlfn.XLOOKUP(Table1[[#This Row],[SAP]],'Location List'!B:B,'Location List'!G:G)</f>
        <v>DFW NORTH</v>
      </c>
      <c r="B37" s="10" t="str">
        <f>LEFT(Table1[[#This Row],[Sap: Loaction]],4)</f>
        <v>904E</v>
      </c>
      <c r="C37" s="7" t="s">
        <v>506</v>
      </c>
      <c r="D37" s="7" t="s">
        <v>556</v>
      </c>
      <c r="E37" s="6">
        <v>3</v>
      </c>
      <c r="F37" s="6">
        <v>164</v>
      </c>
      <c r="G37" s="7">
        <v>169</v>
      </c>
      <c r="H37" s="7" t="s">
        <v>471</v>
      </c>
      <c r="I37" s="4">
        <v>32.725099999999998</v>
      </c>
      <c r="J37" s="4">
        <v>35.000106951871651</v>
      </c>
      <c r="K37" s="5">
        <v>0.93500000000000005</v>
      </c>
      <c r="L37" s="6">
        <v>97</v>
      </c>
      <c r="M37" s="7">
        <v>35</v>
      </c>
      <c r="N37" s="7">
        <v>46.334000000000003</v>
      </c>
      <c r="O37" s="5">
        <v>0.75539999999999996</v>
      </c>
      <c r="P37" s="6">
        <v>195</v>
      </c>
      <c r="Q37" s="7">
        <v>59</v>
      </c>
      <c r="R37" s="7">
        <v>332</v>
      </c>
      <c r="S37" s="5">
        <v>0.17771084337349397</v>
      </c>
      <c r="T37" s="5">
        <v>0.23998763453544086</v>
      </c>
      <c r="U37" s="5">
        <v>0.74050000000000005</v>
      </c>
      <c r="V37" s="6">
        <v>171</v>
      </c>
      <c r="W37" s="5">
        <v>1.1056855379707553</v>
      </c>
      <c r="X37" s="6">
        <v>206</v>
      </c>
      <c r="Y37" s="7">
        <v>8.7142999999999997</v>
      </c>
      <c r="Z37" s="6">
        <v>239</v>
      </c>
      <c r="AA37" s="7">
        <v>1</v>
      </c>
      <c r="AB37" s="7">
        <v>42</v>
      </c>
      <c r="AC37" s="5">
        <v>2.3809523809523808E-2</v>
      </c>
      <c r="AD37" s="5">
        <v>0.1</v>
      </c>
      <c r="AE37" s="5">
        <v>0.23810000000000001</v>
      </c>
      <c r="AF37" s="6">
        <v>281</v>
      </c>
      <c r="AG37" s="5">
        <v>0.35872999999999999</v>
      </c>
      <c r="AH37" s="5">
        <v>0.4</v>
      </c>
      <c r="AI37" s="5">
        <v>0.89680000000000004</v>
      </c>
      <c r="AJ37" s="6">
        <v>128</v>
      </c>
      <c r="AK37" s="7">
        <v>16</v>
      </c>
      <c r="AL37" s="7">
        <v>16</v>
      </c>
      <c r="AM37" s="5">
        <v>1</v>
      </c>
      <c r="AN37" s="5">
        <v>0.8</v>
      </c>
      <c r="AO37" s="5">
        <v>1.25</v>
      </c>
      <c r="AP37" s="6">
        <v>1</v>
      </c>
    </row>
    <row r="38" spans="1:42">
      <c r="A38" s="10" t="str">
        <f>_xlfn.XLOOKUP(Table1[[#This Row],[SAP]],'Location List'!B:B,'Location List'!G:G)</f>
        <v>KS/OK</v>
      </c>
      <c r="B38" s="10" t="str">
        <f>LEFT(Table1[[#This Row],[Sap: Loaction]],4)</f>
        <v>849C</v>
      </c>
      <c r="C38" s="7" t="s">
        <v>506</v>
      </c>
      <c r="D38" s="7" t="s">
        <v>557</v>
      </c>
      <c r="E38" s="6">
        <v>3</v>
      </c>
      <c r="F38" s="6">
        <v>166</v>
      </c>
      <c r="G38" s="7">
        <v>169.4</v>
      </c>
      <c r="H38" s="7" t="s">
        <v>471</v>
      </c>
      <c r="I38" s="4">
        <v>24.446899999999999</v>
      </c>
      <c r="J38" s="4">
        <v>39.998200261780106</v>
      </c>
      <c r="K38" s="5">
        <v>0.61119999999999997</v>
      </c>
      <c r="L38" s="6">
        <v>189</v>
      </c>
      <c r="M38" s="7">
        <v>74</v>
      </c>
      <c r="N38" s="7">
        <v>78.650999999999996</v>
      </c>
      <c r="O38" s="5">
        <v>0.94089999999999996</v>
      </c>
      <c r="P38" s="6">
        <v>121</v>
      </c>
      <c r="Q38" s="7">
        <v>117</v>
      </c>
      <c r="R38" s="7">
        <v>608</v>
      </c>
      <c r="S38" s="5">
        <v>0.19243421052631579</v>
      </c>
      <c r="T38" s="5">
        <v>0.24000275695474657</v>
      </c>
      <c r="U38" s="5">
        <v>0.80179999999999996</v>
      </c>
      <c r="V38" s="6">
        <v>134</v>
      </c>
      <c r="W38" s="5">
        <v>1.1856845884323945</v>
      </c>
      <c r="X38" s="6">
        <v>177</v>
      </c>
      <c r="Y38" s="7">
        <v>9.9</v>
      </c>
      <c r="Z38" s="6">
        <v>86</v>
      </c>
      <c r="AA38" s="7">
        <v>14</v>
      </c>
      <c r="AB38" s="7">
        <v>91</v>
      </c>
      <c r="AC38" s="5">
        <v>0.15384615384615385</v>
      </c>
      <c r="AD38" s="5">
        <v>0.1</v>
      </c>
      <c r="AE38" s="5">
        <v>1.5385</v>
      </c>
      <c r="AF38" s="6">
        <v>74</v>
      </c>
      <c r="AG38" s="5">
        <v>0.14642833333333333</v>
      </c>
      <c r="AH38" s="5">
        <v>0.4</v>
      </c>
      <c r="AI38" s="5">
        <v>0.36609999999999998</v>
      </c>
      <c r="AJ38" s="6">
        <v>321</v>
      </c>
      <c r="AK38" s="7">
        <v>1</v>
      </c>
      <c r="AL38" s="7">
        <v>6</v>
      </c>
      <c r="AM38" s="5">
        <v>0.16666666666666666</v>
      </c>
      <c r="AN38" s="5">
        <v>0.8</v>
      </c>
      <c r="AO38" s="5">
        <v>0.20830000000000001</v>
      </c>
      <c r="AP38" s="6">
        <v>333</v>
      </c>
    </row>
    <row r="39" spans="1:42">
      <c r="A39" s="10" t="str">
        <f>_xlfn.XLOOKUP(Table1[[#This Row],[SAP]],'Location List'!B:B,'Location List'!G:G)</f>
        <v>MO/IA/NE</v>
      </c>
      <c r="B39" s="10" t="str">
        <f>LEFT(Table1[[#This Row],[Sap: Loaction]],4)</f>
        <v>3ISY</v>
      </c>
      <c r="C39" s="7" t="s">
        <v>506</v>
      </c>
      <c r="D39" s="7" t="s">
        <v>558</v>
      </c>
      <c r="E39" s="6">
        <v>3</v>
      </c>
      <c r="F39" s="6">
        <v>168</v>
      </c>
      <c r="G39" s="7">
        <v>170.1</v>
      </c>
      <c r="H39" s="7" t="s">
        <v>471</v>
      </c>
      <c r="I39" s="4">
        <v>34.951599999999999</v>
      </c>
      <c r="J39" s="4">
        <v>39.999542229343099</v>
      </c>
      <c r="K39" s="5">
        <v>0.87380000000000002</v>
      </c>
      <c r="L39" s="6">
        <v>119</v>
      </c>
      <c r="M39" s="7">
        <v>36</v>
      </c>
      <c r="N39" s="7">
        <v>36.887999999999998</v>
      </c>
      <c r="O39" s="5">
        <v>0.97589999999999999</v>
      </c>
      <c r="P39" s="6">
        <v>107</v>
      </c>
      <c r="Q39" s="7">
        <v>67</v>
      </c>
      <c r="R39" s="7">
        <v>566</v>
      </c>
      <c r="S39" s="5">
        <v>0.11837455830388692</v>
      </c>
      <c r="T39" s="5">
        <v>0.24001329745313649</v>
      </c>
      <c r="U39" s="5">
        <v>0.49320000000000003</v>
      </c>
      <c r="V39" s="6">
        <v>317</v>
      </c>
      <c r="W39" s="5">
        <v>1.1855735199185289</v>
      </c>
      <c r="X39" s="6">
        <v>178</v>
      </c>
      <c r="Y39" s="7">
        <v>9.8056000000000001</v>
      </c>
      <c r="Z39" s="6">
        <v>104</v>
      </c>
      <c r="AA39" s="7">
        <v>6</v>
      </c>
      <c r="AB39" s="7">
        <v>61</v>
      </c>
      <c r="AC39" s="5">
        <v>9.8360655737704916E-2</v>
      </c>
      <c r="AD39" s="5">
        <v>0.1</v>
      </c>
      <c r="AE39" s="5">
        <v>0.98360000000000003</v>
      </c>
      <c r="AF39" s="6">
        <v>129</v>
      </c>
      <c r="AG39" s="5">
        <v>0.29629566666666668</v>
      </c>
      <c r="AH39" s="5">
        <v>0.4</v>
      </c>
      <c r="AI39" s="5">
        <v>0.74070000000000003</v>
      </c>
      <c r="AJ39" s="6">
        <v>184</v>
      </c>
      <c r="AK39" s="7">
        <v>4</v>
      </c>
      <c r="AL39" s="7">
        <v>6</v>
      </c>
      <c r="AM39" s="5">
        <v>0.66666666666666663</v>
      </c>
      <c r="AN39" s="5">
        <v>0.8</v>
      </c>
      <c r="AO39" s="5">
        <v>0.83330000000000004</v>
      </c>
      <c r="AP39" s="6">
        <v>227</v>
      </c>
    </row>
    <row r="40" spans="1:42">
      <c r="A40" s="10" t="str">
        <f>_xlfn.XLOOKUP(Table1[[#This Row],[SAP]],'Location List'!B:B,'Location List'!G:G)</f>
        <v>KS/OK</v>
      </c>
      <c r="B40" s="10" t="str">
        <f>LEFT(Table1[[#This Row],[Sap: Loaction]],4)</f>
        <v>4DSC</v>
      </c>
      <c r="C40" s="7" t="s">
        <v>506</v>
      </c>
      <c r="D40" s="7" t="s">
        <v>559</v>
      </c>
      <c r="E40" s="6">
        <v>3</v>
      </c>
      <c r="F40" s="6">
        <v>169</v>
      </c>
      <c r="G40" s="7">
        <v>170.65</v>
      </c>
      <c r="H40" s="7" t="s">
        <v>471</v>
      </c>
      <c r="I40" s="4">
        <v>32.524999999999999</v>
      </c>
      <c r="J40" s="4">
        <v>34.999461960615513</v>
      </c>
      <c r="K40" s="5">
        <v>0.92930000000000001</v>
      </c>
      <c r="L40" s="6">
        <v>102</v>
      </c>
      <c r="M40" s="7">
        <v>38</v>
      </c>
      <c r="N40" s="7">
        <v>38.104999999999997</v>
      </c>
      <c r="O40" s="5">
        <v>0.99719999999999998</v>
      </c>
      <c r="P40" s="6">
        <v>104</v>
      </c>
      <c r="Q40" s="7">
        <v>64</v>
      </c>
      <c r="R40" s="7">
        <v>396</v>
      </c>
      <c r="S40" s="5">
        <v>0.16161616161616163</v>
      </c>
      <c r="T40" s="5">
        <v>0.24000024000024003</v>
      </c>
      <c r="U40" s="5">
        <v>0.6734</v>
      </c>
      <c r="V40" s="6">
        <v>220</v>
      </c>
      <c r="W40" s="5">
        <v>1.1349811381467196</v>
      </c>
      <c r="X40" s="6">
        <v>194</v>
      </c>
      <c r="Y40" s="7">
        <v>8.1875</v>
      </c>
      <c r="Z40" s="6">
        <v>282</v>
      </c>
      <c r="AA40" s="7">
        <v>3</v>
      </c>
      <c r="AB40" s="7">
        <v>76</v>
      </c>
      <c r="AC40" s="5">
        <v>3.9473684210526314E-2</v>
      </c>
      <c r="AD40" s="5">
        <v>0.1</v>
      </c>
      <c r="AE40" s="5">
        <v>0.3947</v>
      </c>
      <c r="AF40" s="6">
        <v>245</v>
      </c>
      <c r="AG40" s="5">
        <v>0.37424233333333334</v>
      </c>
      <c r="AH40" s="5">
        <v>0.4</v>
      </c>
      <c r="AI40" s="5">
        <v>0.93559999999999999</v>
      </c>
      <c r="AJ40" s="6">
        <v>112</v>
      </c>
      <c r="AK40" s="7">
        <v>8</v>
      </c>
      <c r="AL40" s="7">
        <v>9</v>
      </c>
      <c r="AM40" s="5">
        <v>0.88888888888888884</v>
      </c>
      <c r="AN40" s="5">
        <v>0.8</v>
      </c>
      <c r="AO40" s="5">
        <v>1.1111</v>
      </c>
      <c r="AP40" s="6">
        <v>112</v>
      </c>
    </row>
    <row r="41" spans="1:42">
      <c r="A41" s="10" t="str">
        <f>_xlfn.XLOOKUP(Table1[[#This Row],[SAP]],'Location List'!B:B,'Location List'!G:G)</f>
        <v>MO/IA/NE</v>
      </c>
      <c r="B41" s="10" t="str">
        <f>LEFT(Table1[[#This Row],[Sap: Loaction]],4)</f>
        <v>4BSM</v>
      </c>
      <c r="C41" s="7" t="s">
        <v>506</v>
      </c>
      <c r="D41" s="7" t="s">
        <v>560</v>
      </c>
      <c r="E41" s="6">
        <v>3</v>
      </c>
      <c r="F41" s="6">
        <v>173</v>
      </c>
      <c r="G41" s="7">
        <v>172.25</v>
      </c>
      <c r="H41" s="7" t="s">
        <v>471</v>
      </c>
      <c r="I41" s="4">
        <v>29.988299999999999</v>
      </c>
      <c r="J41" s="4">
        <v>30.000300120048017</v>
      </c>
      <c r="K41" s="5">
        <v>0.99960000000000004</v>
      </c>
      <c r="L41" s="6">
        <v>80</v>
      </c>
      <c r="M41" s="7">
        <v>30</v>
      </c>
      <c r="N41" s="7">
        <v>26.826000000000001</v>
      </c>
      <c r="O41" s="5">
        <v>1.1183000000000001</v>
      </c>
      <c r="P41" s="6">
        <v>64</v>
      </c>
      <c r="Q41" s="7">
        <v>54</v>
      </c>
      <c r="R41" s="7">
        <v>289</v>
      </c>
      <c r="S41" s="5">
        <v>0.18685121107266436</v>
      </c>
      <c r="T41" s="5">
        <v>0.24001440086405185</v>
      </c>
      <c r="U41" s="5">
        <v>0.77849999999999997</v>
      </c>
      <c r="V41" s="6">
        <v>146</v>
      </c>
      <c r="W41" s="5">
        <v>2.3163912021091737</v>
      </c>
      <c r="X41" s="6">
        <v>11</v>
      </c>
      <c r="Y41" s="7">
        <v>8</v>
      </c>
      <c r="Z41" s="6">
        <v>291</v>
      </c>
      <c r="AA41" s="7">
        <v>0</v>
      </c>
      <c r="AB41" s="7">
        <v>40</v>
      </c>
      <c r="AC41" s="5">
        <v>0</v>
      </c>
      <c r="AD41" s="5">
        <v>0.1</v>
      </c>
      <c r="AE41" s="5">
        <v>0</v>
      </c>
      <c r="AF41" s="6">
        <v>311</v>
      </c>
      <c r="AG41" s="5">
        <v>0.174566</v>
      </c>
      <c r="AH41" s="5">
        <v>0.4</v>
      </c>
      <c r="AI41" s="5">
        <v>0.43640000000000001</v>
      </c>
      <c r="AJ41" s="6">
        <v>300</v>
      </c>
      <c r="AK41" s="7">
        <v>7</v>
      </c>
      <c r="AL41" s="7">
        <v>10</v>
      </c>
      <c r="AM41" s="5">
        <v>0.7</v>
      </c>
      <c r="AN41" s="5">
        <v>0.8</v>
      </c>
      <c r="AO41" s="5">
        <v>0.875</v>
      </c>
      <c r="AP41" s="6">
        <v>219</v>
      </c>
    </row>
    <row r="42" spans="1:42">
      <c r="A42" s="10" t="str">
        <f>_xlfn.XLOOKUP(Table1[[#This Row],[SAP]],'Location List'!B:B,'Location List'!G:G)</f>
        <v>DFW EAST</v>
      </c>
      <c r="B42" s="10" t="str">
        <f>LEFT(Table1[[#This Row],[Sap: Loaction]],4)</f>
        <v>0115</v>
      </c>
      <c r="C42" s="7" t="s">
        <v>506</v>
      </c>
      <c r="D42" s="7" t="s">
        <v>561</v>
      </c>
      <c r="E42" s="6">
        <v>3</v>
      </c>
      <c r="F42" s="6">
        <v>178</v>
      </c>
      <c r="G42" s="7">
        <v>175.35</v>
      </c>
      <c r="H42" s="7" t="s">
        <v>471</v>
      </c>
      <c r="I42" s="4">
        <v>29.7606</v>
      </c>
      <c r="J42" s="4">
        <v>40.000806451612902</v>
      </c>
      <c r="K42" s="5">
        <v>0.74399999999999999</v>
      </c>
      <c r="L42" s="6">
        <v>152</v>
      </c>
      <c r="M42" s="7">
        <v>85</v>
      </c>
      <c r="N42" s="7">
        <v>87.489000000000004</v>
      </c>
      <c r="O42" s="5">
        <v>0.97160000000000002</v>
      </c>
      <c r="P42" s="6">
        <v>109</v>
      </c>
      <c r="Q42" s="7">
        <v>117</v>
      </c>
      <c r="R42" s="7">
        <v>578</v>
      </c>
      <c r="S42" s="5">
        <v>0.20242214532871972</v>
      </c>
      <c r="T42" s="5">
        <v>0.240007286375053</v>
      </c>
      <c r="U42" s="5">
        <v>0.84340000000000004</v>
      </c>
      <c r="V42" s="6">
        <v>108</v>
      </c>
      <c r="W42" s="5">
        <v>1.067194341904159</v>
      </c>
      <c r="X42" s="6">
        <v>217</v>
      </c>
      <c r="Y42" s="7">
        <v>9.6667000000000005</v>
      </c>
      <c r="Z42" s="6">
        <v>127</v>
      </c>
      <c r="AA42" s="7">
        <v>3</v>
      </c>
      <c r="AB42" s="7">
        <v>79</v>
      </c>
      <c r="AC42" s="5">
        <v>3.7974683544303799E-2</v>
      </c>
      <c r="AD42" s="5">
        <v>0.1</v>
      </c>
      <c r="AE42" s="5">
        <v>0.37969999999999998</v>
      </c>
      <c r="AF42" s="6">
        <v>250</v>
      </c>
      <c r="AG42" s="5">
        <v>0.16923066666666667</v>
      </c>
      <c r="AH42" s="5">
        <v>0.4</v>
      </c>
      <c r="AI42" s="5">
        <v>0.42309999999999998</v>
      </c>
      <c r="AJ42" s="6">
        <v>306</v>
      </c>
      <c r="AK42" s="7">
        <v>15</v>
      </c>
      <c r="AL42" s="7">
        <v>19</v>
      </c>
      <c r="AM42" s="5">
        <v>0.78947368421052633</v>
      </c>
      <c r="AN42" s="5">
        <v>0.8</v>
      </c>
      <c r="AO42" s="5">
        <v>0.98680000000000001</v>
      </c>
      <c r="AP42" s="6">
        <v>175</v>
      </c>
    </row>
    <row r="43" spans="1:42">
      <c r="A43" s="10" t="str">
        <f>_xlfn.XLOOKUP(Table1[[#This Row],[SAP]],'Location List'!B:B,'Location List'!G:G)</f>
        <v>DFW EAST</v>
      </c>
      <c r="B43" s="10" t="str">
        <f>LEFT(Table1[[#This Row],[Sap: Loaction]],4)</f>
        <v>0118</v>
      </c>
      <c r="C43" s="7" t="s">
        <v>506</v>
      </c>
      <c r="D43" s="7" t="s">
        <v>562</v>
      </c>
      <c r="E43" s="6">
        <v>3</v>
      </c>
      <c r="F43" s="6">
        <v>180</v>
      </c>
      <c r="G43" s="7">
        <v>175.75</v>
      </c>
      <c r="H43" s="7" t="s">
        <v>471</v>
      </c>
      <c r="I43" s="4">
        <v>30.622599999999998</v>
      </c>
      <c r="J43" s="4">
        <v>39.998171368861023</v>
      </c>
      <c r="K43" s="5">
        <v>0.76559999999999995</v>
      </c>
      <c r="L43" s="6">
        <v>146</v>
      </c>
      <c r="M43" s="7">
        <v>60</v>
      </c>
      <c r="N43" s="7">
        <v>75.295000000000002</v>
      </c>
      <c r="O43" s="5">
        <v>0.79690000000000005</v>
      </c>
      <c r="P43" s="6">
        <v>176</v>
      </c>
      <c r="Q43" s="7">
        <v>101</v>
      </c>
      <c r="R43" s="7">
        <v>534</v>
      </c>
      <c r="S43" s="5">
        <v>0.18913857677902621</v>
      </c>
      <c r="T43" s="5">
        <v>0.23999311861315342</v>
      </c>
      <c r="U43" s="5">
        <v>0.78810000000000002</v>
      </c>
      <c r="V43" s="6">
        <v>142</v>
      </c>
      <c r="W43" s="5">
        <v>1.2238573820031315</v>
      </c>
      <c r="X43" s="6">
        <v>166</v>
      </c>
      <c r="Y43" s="7">
        <v>9.4</v>
      </c>
      <c r="Z43" s="6">
        <v>151</v>
      </c>
      <c r="AA43" s="7">
        <v>0</v>
      </c>
      <c r="AB43" s="7">
        <v>72</v>
      </c>
      <c r="AC43" s="5">
        <v>0</v>
      </c>
      <c r="AD43" s="5">
        <v>0.1</v>
      </c>
      <c r="AE43" s="5">
        <v>0</v>
      </c>
      <c r="AF43" s="6">
        <v>311</v>
      </c>
      <c r="AG43" s="5">
        <v>0.19816066666666665</v>
      </c>
      <c r="AH43" s="5">
        <v>0.4</v>
      </c>
      <c r="AI43" s="5">
        <v>0.49540000000000001</v>
      </c>
      <c r="AJ43" s="6">
        <v>277</v>
      </c>
      <c r="AK43" s="7">
        <v>14</v>
      </c>
      <c r="AL43" s="7">
        <v>14</v>
      </c>
      <c r="AM43" s="5">
        <v>1</v>
      </c>
      <c r="AN43" s="5">
        <v>0.8</v>
      </c>
      <c r="AO43" s="5">
        <v>1.25</v>
      </c>
      <c r="AP43" s="6">
        <v>1</v>
      </c>
    </row>
    <row r="44" spans="1:42">
      <c r="A44" s="10" t="str">
        <f>_xlfn.XLOOKUP(Table1[[#This Row],[SAP]],'Location List'!B:B,'Location List'!G:G)</f>
        <v>DFW EAST</v>
      </c>
      <c r="B44" s="10" t="str">
        <f>LEFT(Table1[[#This Row],[Sap: Loaction]],4)</f>
        <v>2536</v>
      </c>
      <c r="C44" s="7" t="s">
        <v>506</v>
      </c>
      <c r="D44" s="7" t="s">
        <v>563</v>
      </c>
      <c r="E44" s="6">
        <v>3</v>
      </c>
      <c r="F44" s="6">
        <v>184</v>
      </c>
      <c r="G44" s="7">
        <v>177.6</v>
      </c>
      <c r="H44" s="7" t="s">
        <v>471</v>
      </c>
      <c r="I44" s="4">
        <v>23.299199999999999</v>
      </c>
      <c r="J44" s="4">
        <v>39.998626609442056</v>
      </c>
      <c r="K44" s="5">
        <v>0.58250000000000002</v>
      </c>
      <c r="L44" s="6">
        <v>201</v>
      </c>
      <c r="M44" s="7">
        <v>146</v>
      </c>
      <c r="N44" s="7">
        <v>124.983</v>
      </c>
      <c r="O44" s="5">
        <v>1.1681999999999999</v>
      </c>
      <c r="P44" s="6">
        <v>53</v>
      </c>
      <c r="Q44" s="7">
        <v>168</v>
      </c>
      <c r="R44" s="7">
        <v>972</v>
      </c>
      <c r="S44" s="5">
        <v>0.1728395061728395</v>
      </c>
      <c r="T44" s="5">
        <v>0.23998820629386214</v>
      </c>
      <c r="U44" s="5">
        <v>0.72019999999999995</v>
      </c>
      <c r="V44" s="6">
        <v>185</v>
      </c>
      <c r="W44" s="5">
        <v>0.66954706367341688</v>
      </c>
      <c r="X44" s="6">
        <v>326</v>
      </c>
      <c r="Y44" s="7">
        <v>9.7777999999999992</v>
      </c>
      <c r="Z44" s="6">
        <v>113</v>
      </c>
      <c r="AA44" s="7">
        <v>9</v>
      </c>
      <c r="AB44" s="7">
        <v>96</v>
      </c>
      <c r="AC44" s="5">
        <v>9.375E-2</v>
      </c>
      <c r="AD44" s="5">
        <v>0.1</v>
      </c>
      <c r="AE44" s="5">
        <v>0.9375</v>
      </c>
      <c r="AF44" s="6">
        <v>135</v>
      </c>
      <c r="AG44" s="5">
        <v>0.22293666666666667</v>
      </c>
      <c r="AH44" s="5">
        <v>0.4</v>
      </c>
      <c r="AI44" s="5">
        <v>0.55730000000000002</v>
      </c>
      <c r="AJ44" s="6">
        <v>254</v>
      </c>
      <c r="AK44" s="7">
        <v>18</v>
      </c>
      <c r="AL44" s="7">
        <v>26</v>
      </c>
      <c r="AM44" s="5">
        <v>0.69230769230769229</v>
      </c>
      <c r="AN44" s="5">
        <v>0.8</v>
      </c>
      <c r="AO44" s="5">
        <v>0.86539999999999995</v>
      </c>
      <c r="AP44" s="6">
        <v>222</v>
      </c>
    </row>
    <row r="45" spans="1:42">
      <c r="A45" s="10" t="str">
        <f>_xlfn.XLOOKUP(Table1[[#This Row],[SAP]],'Location List'!B:B,'Location List'!G:G)</f>
        <v>WEST TEXAS</v>
      </c>
      <c r="B45" s="10" t="str">
        <f>LEFT(Table1[[#This Row],[Sap: Loaction]],4)</f>
        <v>1FSZ</v>
      </c>
      <c r="C45" s="7" t="s">
        <v>506</v>
      </c>
      <c r="D45" s="7" t="s">
        <v>564</v>
      </c>
      <c r="E45" s="6">
        <v>3</v>
      </c>
      <c r="F45" s="6">
        <v>185</v>
      </c>
      <c r="G45" s="7">
        <v>177.75</v>
      </c>
      <c r="H45" s="7" t="s">
        <v>471</v>
      </c>
      <c r="I45" s="4">
        <v>77.902900000000002</v>
      </c>
      <c r="J45" s="4">
        <v>39.999435202300269</v>
      </c>
      <c r="K45" s="5">
        <v>1.9476</v>
      </c>
      <c r="L45" s="6">
        <v>6</v>
      </c>
      <c r="M45" s="7">
        <v>79</v>
      </c>
      <c r="N45" s="7">
        <v>91.45</v>
      </c>
      <c r="O45" s="5">
        <v>0.8639</v>
      </c>
      <c r="P45" s="6">
        <v>152</v>
      </c>
      <c r="Q45" s="7">
        <v>105</v>
      </c>
      <c r="R45" s="7">
        <v>643</v>
      </c>
      <c r="S45" s="5">
        <v>0.16329704510108864</v>
      </c>
      <c r="T45" s="5">
        <v>0.24000153600983046</v>
      </c>
      <c r="U45" s="5">
        <v>0.6804</v>
      </c>
      <c r="V45" s="6">
        <v>215</v>
      </c>
      <c r="W45" s="5">
        <v>1.0241209280273234</v>
      </c>
      <c r="X45" s="6">
        <v>226</v>
      </c>
      <c r="Y45" s="7">
        <v>7.9166999999999996</v>
      </c>
      <c r="Z45" s="6">
        <v>302</v>
      </c>
      <c r="AA45" s="7">
        <v>4</v>
      </c>
      <c r="AB45" s="7">
        <v>94</v>
      </c>
      <c r="AC45" s="5">
        <v>4.2553191489361701E-2</v>
      </c>
      <c r="AD45" s="5">
        <v>0.1</v>
      </c>
      <c r="AE45" s="5">
        <v>0.42549999999999999</v>
      </c>
      <c r="AF45" s="6">
        <v>238</v>
      </c>
      <c r="AG45" s="5">
        <v>0.29160366666666665</v>
      </c>
      <c r="AH45" s="5">
        <v>0.4</v>
      </c>
      <c r="AI45" s="5">
        <v>0.72899999999999998</v>
      </c>
      <c r="AJ45" s="6">
        <v>189</v>
      </c>
      <c r="AK45" s="7">
        <v>23</v>
      </c>
      <c r="AL45" s="7">
        <v>27</v>
      </c>
      <c r="AM45" s="5">
        <v>0.85185185185185186</v>
      </c>
      <c r="AN45" s="5">
        <v>0.8</v>
      </c>
      <c r="AO45" s="5">
        <v>1.0648</v>
      </c>
      <c r="AP45" s="6">
        <v>144</v>
      </c>
    </row>
    <row r="46" spans="1:42">
      <c r="A46" s="10" t="str">
        <f>_xlfn.XLOOKUP(Table1[[#This Row],[SAP]],'Location List'!B:B,'Location List'!G:G)</f>
        <v>SA SOUTH</v>
      </c>
      <c r="B46" s="10" t="str">
        <f>LEFT(Table1[[#This Row],[Sap: Loaction]],4)</f>
        <v>4723</v>
      </c>
      <c r="C46" s="7" t="s">
        <v>506</v>
      </c>
      <c r="D46" s="7" t="s">
        <v>565</v>
      </c>
      <c r="E46" s="6">
        <v>3</v>
      </c>
      <c r="F46" s="6">
        <v>187</v>
      </c>
      <c r="G46" s="7">
        <v>178.05</v>
      </c>
      <c r="H46" s="7" t="s">
        <v>471</v>
      </c>
      <c r="I46" s="4">
        <v>23.3871</v>
      </c>
      <c r="J46" s="4">
        <v>39.998460749102101</v>
      </c>
      <c r="K46" s="5">
        <v>0.5847</v>
      </c>
      <c r="L46" s="6">
        <v>198</v>
      </c>
      <c r="M46" s="7">
        <v>65</v>
      </c>
      <c r="N46" s="7">
        <v>64.319999999999993</v>
      </c>
      <c r="O46" s="5">
        <v>1.0105999999999999</v>
      </c>
      <c r="P46" s="6">
        <v>99</v>
      </c>
      <c r="Q46" s="7">
        <v>83</v>
      </c>
      <c r="R46" s="7">
        <v>355</v>
      </c>
      <c r="S46" s="5">
        <v>0.23380281690140844</v>
      </c>
      <c r="T46" s="5">
        <v>0.2399946796360177</v>
      </c>
      <c r="U46" s="5">
        <v>0.97419999999999995</v>
      </c>
      <c r="V46" s="6">
        <v>54</v>
      </c>
      <c r="W46" s="5">
        <v>1.0820806932031732</v>
      </c>
      <c r="X46" s="6">
        <v>213</v>
      </c>
      <c r="Y46" s="7">
        <v>9.1999999999999993</v>
      </c>
      <c r="Z46" s="6">
        <v>173</v>
      </c>
      <c r="AA46" s="7">
        <v>2</v>
      </c>
      <c r="AB46" s="7">
        <v>59</v>
      </c>
      <c r="AC46" s="5">
        <v>3.3898305084745763E-2</v>
      </c>
      <c r="AD46" s="5">
        <v>0.1</v>
      </c>
      <c r="AE46" s="5">
        <v>0.33900000000000002</v>
      </c>
      <c r="AF46" s="6">
        <v>258</v>
      </c>
      <c r="AG46" s="5">
        <v>0.24434800000000001</v>
      </c>
      <c r="AH46" s="5">
        <v>0.4</v>
      </c>
      <c r="AI46" s="5">
        <v>0.6109</v>
      </c>
      <c r="AJ46" s="6">
        <v>239</v>
      </c>
      <c r="AK46" s="7">
        <v>9</v>
      </c>
      <c r="AL46" s="7">
        <v>14</v>
      </c>
      <c r="AM46" s="5">
        <v>0.6428571428571429</v>
      </c>
      <c r="AN46" s="5">
        <v>0.8</v>
      </c>
      <c r="AO46" s="5">
        <v>0.80359999999999998</v>
      </c>
      <c r="AP46" s="6">
        <v>242</v>
      </c>
    </row>
    <row r="47" spans="1:42">
      <c r="A47" s="10" t="str">
        <f>_xlfn.XLOOKUP(Table1[[#This Row],[SAP]],'Location List'!B:B,'Location List'!G:G)</f>
        <v>SA SOUTH</v>
      </c>
      <c r="B47" s="10" t="str">
        <f>LEFT(Table1[[#This Row],[Sap: Loaction]],4)</f>
        <v>5441</v>
      </c>
      <c r="C47" s="7" t="s">
        <v>506</v>
      </c>
      <c r="D47" s="7" t="s">
        <v>566</v>
      </c>
      <c r="E47" s="6">
        <v>3</v>
      </c>
      <c r="F47" s="6">
        <v>195</v>
      </c>
      <c r="G47" s="7">
        <v>180.5</v>
      </c>
      <c r="H47" s="7" t="s">
        <v>471</v>
      </c>
      <c r="I47" s="4">
        <v>39.638399999999997</v>
      </c>
      <c r="J47" s="4">
        <v>39.998385469223003</v>
      </c>
      <c r="K47" s="5">
        <v>0.99099999999999999</v>
      </c>
      <c r="L47" s="6">
        <v>83</v>
      </c>
      <c r="M47" s="7">
        <v>52.5</v>
      </c>
      <c r="N47" s="7">
        <v>60.356999999999999</v>
      </c>
      <c r="O47" s="5">
        <v>0.86980000000000002</v>
      </c>
      <c r="P47" s="6">
        <v>150</v>
      </c>
      <c r="Q47" s="7">
        <v>93</v>
      </c>
      <c r="R47" s="7">
        <v>546</v>
      </c>
      <c r="S47" s="5">
        <v>0.17032967032967034</v>
      </c>
      <c r="T47" s="5">
        <v>0.24000235357146729</v>
      </c>
      <c r="U47" s="5">
        <v>0.7097</v>
      </c>
      <c r="V47" s="6">
        <v>193</v>
      </c>
      <c r="W47" s="5">
        <v>1.1120211038440062</v>
      </c>
      <c r="X47" s="6">
        <v>198</v>
      </c>
      <c r="Y47" s="7">
        <v>8.3332999999999995</v>
      </c>
      <c r="Z47" s="6">
        <v>268</v>
      </c>
      <c r="AA47" s="7">
        <v>3</v>
      </c>
      <c r="AB47" s="7">
        <v>58</v>
      </c>
      <c r="AC47" s="5">
        <v>5.1724137931034482E-2</v>
      </c>
      <c r="AD47" s="5">
        <v>0.1</v>
      </c>
      <c r="AE47" s="5">
        <v>0.51719999999999999</v>
      </c>
      <c r="AF47" s="6">
        <v>220</v>
      </c>
      <c r="AG47" s="5">
        <v>0.292763</v>
      </c>
      <c r="AH47" s="5">
        <v>0.4</v>
      </c>
      <c r="AI47" s="5">
        <v>0.7319</v>
      </c>
      <c r="AJ47" s="6">
        <v>187</v>
      </c>
      <c r="AK47" s="7">
        <v>17</v>
      </c>
      <c r="AL47" s="7">
        <v>22</v>
      </c>
      <c r="AM47" s="5">
        <v>0.77272727272727271</v>
      </c>
      <c r="AN47" s="5">
        <v>0.8</v>
      </c>
      <c r="AO47" s="5">
        <v>0.96589999999999998</v>
      </c>
      <c r="AP47" s="6">
        <v>183</v>
      </c>
    </row>
    <row r="48" spans="1:42">
      <c r="A48" s="10" t="str">
        <f>_xlfn.XLOOKUP(Table1[[#This Row],[SAP]],'Location List'!B:B,'Location List'!G:G)</f>
        <v>MO/IA/NE</v>
      </c>
      <c r="B48" s="10" t="str">
        <f>LEFT(Table1[[#This Row],[Sap: Loaction]],4)</f>
        <v>4ASP</v>
      </c>
      <c r="C48" s="7" t="s">
        <v>506</v>
      </c>
      <c r="D48" s="7" t="s">
        <v>567</v>
      </c>
      <c r="E48" s="6">
        <v>3</v>
      </c>
      <c r="F48" s="6">
        <v>197</v>
      </c>
      <c r="G48" s="7">
        <v>180.65</v>
      </c>
      <c r="H48" s="7" t="s">
        <v>471</v>
      </c>
      <c r="I48" s="4">
        <v>45.8598</v>
      </c>
      <c r="J48" s="4">
        <v>39.999825556040122</v>
      </c>
      <c r="K48" s="5">
        <v>1.1465000000000001</v>
      </c>
      <c r="L48" s="6">
        <v>47</v>
      </c>
      <c r="M48" s="7">
        <v>41</v>
      </c>
      <c r="N48" s="7">
        <v>47.555999999999997</v>
      </c>
      <c r="O48" s="5">
        <v>0.86209999999999998</v>
      </c>
      <c r="P48" s="6">
        <v>154</v>
      </c>
      <c r="Q48" s="7">
        <v>92</v>
      </c>
      <c r="R48" s="7">
        <v>525</v>
      </c>
      <c r="S48" s="5">
        <v>0.17523809523809525</v>
      </c>
      <c r="T48" s="5">
        <v>0.23998643554929508</v>
      </c>
      <c r="U48" s="5">
        <v>0.73019999999999996</v>
      </c>
      <c r="V48" s="6">
        <v>181</v>
      </c>
      <c r="W48" s="5">
        <v>1.1454211257571763</v>
      </c>
      <c r="X48" s="6">
        <v>191</v>
      </c>
      <c r="Y48" s="7">
        <v>9.1667000000000005</v>
      </c>
      <c r="Z48" s="6">
        <v>175</v>
      </c>
      <c r="AA48" s="7">
        <v>1</v>
      </c>
      <c r="AB48" s="7">
        <v>46</v>
      </c>
      <c r="AC48" s="5">
        <v>2.1739130434782608E-2</v>
      </c>
      <c r="AD48" s="5">
        <v>0.1</v>
      </c>
      <c r="AE48" s="5">
        <v>0.21740000000000001</v>
      </c>
      <c r="AF48" s="6">
        <v>287</v>
      </c>
      <c r="AG48" s="5">
        <v>0.130769</v>
      </c>
      <c r="AH48" s="5">
        <v>0.4</v>
      </c>
      <c r="AI48" s="5">
        <v>0.32690000000000002</v>
      </c>
      <c r="AJ48" s="6">
        <v>330</v>
      </c>
      <c r="AK48" s="7">
        <v>9</v>
      </c>
      <c r="AL48" s="7">
        <v>10</v>
      </c>
      <c r="AM48" s="5">
        <v>0.9</v>
      </c>
      <c r="AN48" s="5">
        <v>0.8</v>
      </c>
      <c r="AO48" s="5">
        <v>1.125</v>
      </c>
      <c r="AP48" s="6">
        <v>107</v>
      </c>
    </row>
    <row r="49" spans="1:42">
      <c r="A49" s="10" t="str">
        <f>_xlfn.XLOOKUP(Table1[[#This Row],[SAP]],'Location List'!B:B,'Location List'!G:G)</f>
        <v>WEST TEXAS</v>
      </c>
      <c r="B49" s="10" t="str">
        <f>LEFT(Table1[[#This Row],[Sap: Loaction]],4)</f>
        <v>1LSS</v>
      </c>
      <c r="C49" s="7" t="s">
        <v>506</v>
      </c>
      <c r="D49" s="7" t="s">
        <v>568</v>
      </c>
      <c r="E49" s="6">
        <v>3</v>
      </c>
      <c r="F49" s="6">
        <v>198</v>
      </c>
      <c r="G49" s="7">
        <v>181.95</v>
      </c>
      <c r="H49" s="7" t="s">
        <v>471</v>
      </c>
      <c r="I49" s="4">
        <v>20.148800000000001</v>
      </c>
      <c r="J49" s="4">
        <v>34.99878408893521</v>
      </c>
      <c r="K49" s="5">
        <v>0.57569999999999999</v>
      </c>
      <c r="L49" s="6">
        <v>205</v>
      </c>
      <c r="M49" s="7">
        <v>36</v>
      </c>
      <c r="N49" s="7">
        <v>45.115000000000002</v>
      </c>
      <c r="O49" s="5">
        <v>0.79800000000000004</v>
      </c>
      <c r="P49" s="6">
        <v>174</v>
      </c>
      <c r="Q49" s="7">
        <v>56</v>
      </c>
      <c r="R49" s="7">
        <v>329</v>
      </c>
      <c r="S49" s="5">
        <v>0.1702127659574468</v>
      </c>
      <c r="T49" s="5">
        <v>0.24000672018816524</v>
      </c>
      <c r="U49" s="5">
        <v>0.70920000000000005</v>
      </c>
      <c r="V49" s="6">
        <v>194</v>
      </c>
      <c r="W49" s="5">
        <v>1.1982035865675846</v>
      </c>
      <c r="X49" s="6">
        <v>175</v>
      </c>
      <c r="Y49" s="7">
        <v>8.8332999999999995</v>
      </c>
      <c r="Z49" s="6">
        <v>223</v>
      </c>
      <c r="AA49" s="7">
        <v>5</v>
      </c>
      <c r="AB49" s="7">
        <v>57</v>
      </c>
      <c r="AC49" s="5">
        <v>8.771929824561403E-2</v>
      </c>
      <c r="AD49" s="5">
        <v>0.1</v>
      </c>
      <c r="AE49" s="5">
        <v>0.87719999999999998</v>
      </c>
      <c r="AF49" s="6">
        <v>148</v>
      </c>
      <c r="AG49" s="5">
        <v>0.3720236666666667</v>
      </c>
      <c r="AH49" s="5">
        <v>0.4</v>
      </c>
      <c r="AI49" s="5">
        <v>0.93010000000000004</v>
      </c>
      <c r="AJ49" s="6">
        <v>113</v>
      </c>
      <c r="AK49" s="7">
        <v>6</v>
      </c>
      <c r="AL49" s="7">
        <v>9</v>
      </c>
      <c r="AM49" s="5">
        <v>0.66666666666666663</v>
      </c>
      <c r="AN49" s="5">
        <v>0.8</v>
      </c>
      <c r="AO49" s="5">
        <v>0.83330000000000004</v>
      </c>
      <c r="AP49" s="6">
        <v>227</v>
      </c>
    </row>
    <row r="50" spans="1:42">
      <c r="A50" s="10" t="str">
        <f>_xlfn.XLOOKUP(Table1[[#This Row],[SAP]],'Location List'!B:B,'Location List'!G:G)</f>
        <v>SA/HILL COUNTRY</v>
      </c>
      <c r="B50" s="10" t="str">
        <f>LEFT(Table1[[#This Row],[Sap: Loaction]],4)</f>
        <v>583D</v>
      </c>
      <c r="C50" s="7" t="s">
        <v>506</v>
      </c>
      <c r="D50" s="7" t="s">
        <v>569</v>
      </c>
      <c r="E50" s="6">
        <v>3</v>
      </c>
      <c r="F50" s="6">
        <v>201</v>
      </c>
      <c r="G50" s="7">
        <v>183.2</v>
      </c>
      <c r="H50" s="7" t="s">
        <v>471</v>
      </c>
      <c r="I50" s="4">
        <v>19.281500000000001</v>
      </c>
      <c r="J50" s="4">
        <v>40.003112033195023</v>
      </c>
      <c r="K50" s="5">
        <v>0.48199999999999998</v>
      </c>
      <c r="L50" s="6">
        <v>234</v>
      </c>
      <c r="M50" s="7">
        <v>34</v>
      </c>
      <c r="N50" s="7">
        <v>46.335000000000001</v>
      </c>
      <c r="O50" s="5">
        <v>0.73380000000000001</v>
      </c>
      <c r="P50" s="6">
        <v>206</v>
      </c>
      <c r="Q50" s="7">
        <v>78</v>
      </c>
      <c r="R50" s="7">
        <v>419</v>
      </c>
      <c r="S50" s="5">
        <v>0.18615751789976134</v>
      </c>
      <c r="T50" s="5">
        <v>0.23998648691473681</v>
      </c>
      <c r="U50" s="5">
        <v>0.77569999999999995</v>
      </c>
      <c r="V50" s="6">
        <v>149</v>
      </c>
      <c r="W50" s="5">
        <v>1.6356523881817953</v>
      </c>
      <c r="X50" s="6">
        <v>68</v>
      </c>
      <c r="Y50" s="7">
        <v>9.8000000000000007</v>
      </c>
      <c r="Z50" s="6">
        <v>105</v>
      </c>
      <c r="AA50" s="7">
        <v>6</v>
      </c>
      <c r="AB50" s="7">
        <v>73</v>
      </c>
      <c r="AC50" s="5">
        <v>8.2191780821917804E-2</v>
      </c>
      <c r="AD50" s="5">
        <v>0.1</v>
      </c>
      <c r="AE50" s="5">
        <v>0.82189999999999996</v>
      </c>
      <c r="AF50" s="6">
        <v>155</v>
      </c>
      <c r="AG50" s="5">
        <v>0.17436233333333331</v>
      </c>
      <c r="AH50" s="5">
        <v>0.4</v>
      </c>
      <c r="AI50" s="5">
        <v>0.43590000000000001</v>
      </c>
      <c r="AJ50" s="6">
        <v>301</v>
      </c>
      <c r="AK50" s="7">
        <v>9</v>
      </c>
      <c r="AL50" s="7">
        <v>14</v>
      </c>
      <c r="AM50" s="5">
        <v>0.6428571428571429</v>
      </c>
      <c r="AN50" s="5">
        <v>0.8</v>
      </c>
      <c r="AO50" s="5">
        <v>0.80359999999999998</v>
      </c>
      <c r="AP50" s="6">
        <v>242</v>
      </c>
    </row>
    <row r="51" spans="1:42">
      <c r="A51" s="10" t="str">
        <f>_xlfn.XLOOKUP(Table1[[#This Row],[SAP]],'Location List'!B:B,'Location List'!G:G)</f>
        <v>CENTRAL TEXAS</v>
      </c>
      <c r="B51" s="10" t="str">
        <f>LEFT(Table1[[#This Row],[Sap: Loaction]],4)</f>
        <v>1DST</v>
      </c>
      <c r="C51" s="7" t="s">
        <v>506</v>
      </c>
      <c r="D51" s="7" t="s">
        <v>570</v>
      </c>
      <c r="E51" s="6">
        <v>3</v>
      </c>
      <c r="F51" s="6">
        <v>206</v>
      </c>
      <c r="G51" s="7">
        <v>184.85</v>
      </c>
      <c r="H51" s="7" t="s">
        <v>471</v>
      </c>
      <c r="I51" s="4">
        <v>23.8904</v>
      </c>
      <c r="J51" s="4">
        <v>39.997321279089228</v>
      </c>
      <c r="K51" s="5">
        <v>0.59730000000000005</v>
      </c>
      <c r="L51" s="6">
        <v>193</v>
      </c>
      <c r="M51" s="7">
        <v>24</v>
      </c>
      <c r="N51" s="7">
        <v>46.029000000000003</v>
      </c>
      <c r="O51" s="5">
        <v>0.52139999999999997</v>
      </c>
      <c r="P51" s="6">
        <v>289</v>
      </c>
      <c r="Q51" s="7">
        <v>64</v>
      </c>
      <c r="R51" s="7">
        <v>503</v>
      </c>
      <c r="S51" s="5">
        <v>0.1272365805168986</v>
      </c>
      <c r="T51" s="5">
        <v>0.23997846193304148</v>
      </c>
      <c r="U51" s="5">
        <v>0.5302</v>
      </c>
      <c r="V51" s="6">
        <v>302</v>
      </c>
      <c r="W51" s="5">
        <v>1.4847917148493752</v>
      </c>
      <c r="X51" s="6">
        <v>94</v>
      </c>
      <c r="Y51" s="7">
        <v>9.8332999999999995</v>
      </c>
      <c r="Z51" s="6">
        <v>95</v>
      </c>
      <c r="AA51" s="7">
        <v>3</v>
      </c>
      <c r="AB51" s="7">
        <v>71</v>
      </c>
      <c r="AC51" s="5">
        <v>4.2253521126760563E-2</v>
      </c>
      <c r="AD51" s="5">
        <v>0.1</v>
      </c>
      <c r="AE51" s="5">
        <v>0.42249999999999999</v>
      </c>
      <c r="AF51" s="6">
        <v>239</v>
      </c>
      <c r="AG51" s="5">
        <v>0.36243366666666671</v>
      </c>
      <c r="AH51" s="5">
        <v>0.4</v>
      </c>
      <c r="AI51" s="5">
        <v>0.90610000000000002</v>
      </c>
      <c r="AJ51" s="6">
        <v>124</v>
      </c>
      <c r="AK51" s="7">
        <v>14</v>
      </c>
      <c r="AL51" s="7">
        <v>14</v>
      </c>
      <c r="AM51" s="5">
        <v>1</v>
      </c>
      <c r="AN51" s="5">
        <v>0.8</v>
      </c>
      <c r="AO51" s="5">
        <v>1.25</v>
      </c>
      <c r="AP51" s="6">
        <v>1</v>
      </c>
    </row>
    <row r="52" spans="1:42">
      <c r="A52" s="10" t="str">
        <f>_xlfn.XLOOKUP(Table1[[#This Row],[SAP]],'Location List'!B:B,'Location List'!G:G)</f>
        <v>CENTRAL TEXAS</v>
      </c>
      <c r="B52" s="10" t="str">
        <f>LEFT(Table1[[#This Row],[Sap: Loaction]],4)</f>
        <v>1FSS</v>
      </c>
      <c r="C52" s="7" t="s">
        <v>506</v>
      </c>
      <c r="D52" s="7" t="s">
        <v>571</v>
      </c>
      <c r="E52" s="6">
        <v>3</v>
      </c>
      <c r="F52" s="6">
        <v>207</v>
      </c>
      <c r="G52" s="7">
        <v>185.05</v>
      </c>
      <c r="H52" s="7" t="s">
        <v>471</v>
      </c>
      <c r="I52" s="4">
        <v>1.7764</v>
      </c>
      <c r="J52" s="4">
        <v>30.006756756756754</v>
      </c>
      <c r="K52" s="5">
        <v>5.9200000000000003E-2</v>
      </c>
      <c r="L52" s="6">
        <v>326</v>
      </c>
      <c r="M52" s="7">
        <v>19</v>
      </c>
      <c r="N52" s="7">
        <v>28.959</v>
      </c>
      <c r="O52" s="5">
        <v>0.65610000000000002</v>
      </c>
      <c r="P52" s="6">
        <v>231</v>
      </c>
      <c r="Q52" s="7">
        <v>29</v>
      </c>
      <c r="R52" s="7">
        <v>134</v>
      </c>
      <c r="S52" s="5">
        <v>0.21641791044776118</v>
      </c>
      <c r="T52" s="5">
        <v>0.24001099084813263</v>
      </c>
      <c r="U52" s="5">
        <v>0.90169999999999995</v>
      </c>
      <c r="V52" s="6">
        <v>84</v>
      </c>
      <c r="W52" s="5">
        <v>0.58617696640422001</v>
      </c>
      <c r="X52" s="6">
        <v>333</v>
      </c>
      <c r="Y52" s="7">
        <v>9.3000000000000007</v>
      </c>
      <c r="Z52" s="6">
        <v>162</v>
      </c>
      <c r="AA52" s="7">
        <v>2</v>
      </c>
      <c r="AB52" s="7">
        <v>29</v>
      </c>
      <c r="AC52" s="5">
        <v>6.8965517241379309E-2</v>
      </c>
      <c r="AD52" s="5">
        <v>0.1</v>
      </c>
      <c r="AE52" s="5">
        <v>0.68969999999999998</v>
      </c>
      <c r="AF52" s="6">
        <v>176</v>
      </c>
      <c r="AG52" s="5">
        <v>0.35714266666666666</v>
      </c>
      <c r="AH52" s="5">
        <v>0.4</v>
      </c>
      <c r="AI52" s="5">
        <v>0.89290000000000003</v>
      </c>
      <c r="AJ52" s="6">
        <v>129</v>
      </c>
      <c r="AK52" s="7">
        <v>4</v>
      </c>
      <c r="AL52" s="7">
        <v>4</v>
      </c>
      <c r="AM52" s="5">
        <v>1</v>
      </c>
      <c r="AN52" s="5">
        <v>0.8</v>
      </c>
      <c r="AO52" s="5">
        <v>1.25</v>
      </c>
      <c r="AP52" s="6">
        <v>1</v>
      </c>
    </row>
    <row r="53" spans="1:42">
      <c r="A53" s="10" t="str">
        <f>_xlfn.XLOOKUP(Table1[[#This Row],[SAP]],'Location List'!B:B,'Location List'!G:G)</f>
        <v>DFW EAST</v>
      </c>
      <c r="B53" s="10" t="str">
        <f>LEFT(Table1[[#This Row],[Sap: Loaction]],4)</f>
        <v>5784</v>
      </c>
      <c r="C53" s="7" t="s">
        <v>506</v>
      </c>
      <c r="D53" s="7" t="s">
        <v>572</v>
      </c>
      <c r="E53" s="6">
        <v>3</v>
      </c>
      <c r="F53" s="6">
        <v>209</v>
      </c>
      <c r="G53" s="7">
        <v>185.8</v>
      </c>
      <c r="H53" s="7" t="s">
        <v>471</v>
      </c>
      <c r="I53" s="4">
        <v>21.311299999999999</v>
      </c>
      <c r="J53" s="4">
        <v>39.998686186186184</v>
      </c>
      <c r="K53" s="5">
        <v>0.53280000000000005</v>
      </c>
      <c r="L53" s="6">
        <v>218</v>
      </c>
      <c r="M53" s="7">
        <v>52</v>
      </c>
      <c r="N53" s="7">
        <v>55.786999999999999</v>
      </c>
      <c r="O53" s="5">
        <v>0.93210000000000004</v>
      </c>
      <c r="P53" s="6">
        <v>126</v>
      </c>
      <c r="Q53" s="7">
        <v>94</v>
      </c>
      <c r="R53" s="7">
        <v>557</v>
      </c>
      <c r="S53" s="5">
        <v>0.16876122082585279</v>
      </c>
      <c r="T53" s="5">
        <v>0.23999035953619566</v>
      </c>
      <c r="U53" s="5">
        <v>0.70320000000000005</v>
      </c>
      <c r="V53" s="6">
        <v>199</v>
      </c>
      <c r="W53" s="5">
        <v>1.1149051006783761</v>
      </c>
      <c r="X53" s="6">
        <v>197</v>
      </c>
      <c r="Y53" s="7">
        <v>9</v>
      </c>
      <c r="Z53" s="6">
        <v>194</v>
      </c>
      <c r="AA53" s="7">
        <v>7</v>
      </c>
      <c r="AB53" s="7">
        <v>80</v>
      </c>
      <c r="AC53" s="5">
        <v>8.7499999999999994E-2</v>
      </c>
      <c r="AD53" s="5">
        <v>0.1</v>
      </c>
      <c r="AE53" s="5">
        <v>0.875</v>
      </c>
      <c r="AF53" s="6">
        <v>149</v>
      </c>
      <c r="AG53" s="5">
        <v>0.30555533333333335</v>
      </c>
      <c r="AH53" s="5">
        <v>0.4</v>
      </c>
      <c r="AI53" s="5">
        <v>0.76390000000000002</v>
      </c>
      <c r="AJ53" s="6">
        <v>177</v>
      </c>
      <c r="AK53" s="7">
        <v>6</v>
      </c>
      <c r="AL53" s="7">
        <v>10</v>
      </c>
      <c r="AM53" s="5">
        <v>0.6</v>
      </c>
      <c r="AN53" s="5">
        <v>0.8</v>
      </c>
      <c r="AO53" s="5">
        <v>0.75</v>
      </c>
      <c r="AP53" s="6">
        <v>252</v>
      </c>
    </row>
    <row r="54" spans="1:42">
      <c r="A54" s="10" t="str">
        <f>_xlfn.XLOOKUP(Table1[[#This Row],[SAP]],'Location List'!B:B,'Location List'!G:G)</f>
        <v>DFW EAST</v>
      </c>
      <c r="B54" s="10" t="str">
        <f>LEFT(Table1[[#This Row],[Sap: Loaction]],4)</f>
        <v>5564</v>
      </c>
      <c r="C54" s="7" t="s">
        <v>506</v>
      </c>
      <c r="D54" s="7" t="s">
        <v>573</v>
      </c>
      <c r="E54" s="6">
        <v>3</v>
      </c>
      <c r="F54" s="6">
        <v>214</v>
      </c>
      <c r="G54" s="7">
        <v>189.4</v>
      </c>
      <c r="H54" s="7" t="s">
        <v>471</v>
      </c>
      <c r="I54" s="4">
        <v>35.092500000000001</v>
      </c>
      <c r="J54" s="4">
        <v>35.001496110113706</v>
      </c>
      <c r="K54" s="5">
        <v>1.0025999999999999</v>
      </c>
      <c r="L54" s="6">
        <v>79</v>
      </c>
      <c r="M54" s="7">
        <v>37</v>
      </c>
      <c r="N54" s="7">
        <v>49.996000000000002</v>
      </c>
      <c r="O54" s="5">
        <v>0.74009999999999998</v>
      </c>
      <c r="P54" s="6">
        <v>204</v>
      </c>
      <c r="Q54" s="7">
        <v>50</v>
      </c>
      <c r="R54" s="7">
        <v>355</v>
      </c>
      <c r="S54" s="5">
        <v>0.14084507042253522</v>
      </c>
      <c r="T54" s="5">
        <v>0.23998137744511028</v>
      </c>
      <c r="U54" s="5">
        <v>0.58689999999999998</v>
      </c>
      <c r="V54" s="6">
        <v>276</v>
      </c>
      <c r="W54" s="5">
        <v>0.80948027273285028</v>
      </c>
      <c r="X54" s="6">
        <v>293</v>
      </c>
      <c r="Y54" s="7">
        <v>9.4</v>
      </c>
      <c r="Z54" s="6">
        <v>151</v>
      </c>
      <c r="AA54" s="7">
        <v>4</v>
      </c>
      <c r="AB54" s="7">
        <v>76</v>
      </c>
      <c r="AC54" s="5">
        <v>5.2631578947368418E-2</v>
      </c>
      <c r="AD54" s="5">
        <v>0.1</v>
      </c>
      <c r="AE54" s="5">
        <v>0.52629999999999999</v>
      </c>
      <c r="AF54" s="6">
        <v>217</v>
      </c>
      <c r="AG54" s="5">
        <v>0.19130433333333333</v>
      </c>
      <c r="AH54" s="5">
        <v>0.4</v>
      </c>
      <c r="AI54" s="5">
        <v>0.4783</v>
      </c>
      <c r="AJ54" s="6">
        <v>285</v>
      </c>
      <c r="AK54" s="7">
        <v>2</v>
      </c>
      <c r="AL54" s="7">
        <v>2</v>
      </c>
      <c r="AM54" s="5">
        <v>1</v>
      </c>
      <c r="AN54" s="5">
        <v>0.8</v>
      </c>
      <c r="AO54" s="5">
        <v>1.25</v>
      </c>
      <c r="AP54" s="6">
        <v>1</v>
      </c>
    </row>
    <row r="55" spans="1:42">
      <c r="A55" s="10" t="str">
        <f>_xlfn.XLOOKUP(Table1[[#This Row],[SAP]],'Location List'!B:B,'Location List'!G:G)</f>
        <v>SOUTH TX/RGV</v>
      </c>
      <c r="B55" s="10" t="str">
        <f>LEFT(Table1[[#This Row],[Sap: Loaction]],4)</f>
        <v>200E</v>
      </c>
      <c r="C55" s="7" t="s">
        <v>506</v>
      </c>
      <c r="D55" s="7" t="s">
        <v>574</v>
      </c>
      <c r="E55" s="6">
        <v>3</v>
      </c>
      <c r="F55" s="6">
        <v>216</v>
      </c>
      <c r="G55" s="7">
        <v>191.1</v>
      </c>
      <c r="H55" s="7" t="s">
        <v>471</v>
      </c>
      <c r="I55" s="4">
        <v>18.446999999999999</v>
      </c>
      <c r="J55" s="4">
        <v>39.997831743278404</v>
      </c>
      <c r="K55" s="5">
        <v>0.4612</v>
      </c>
      <c r="L55" s="6">
        <v>241</v>
      </c>
      <c r="M55" s="7">
        <v>38</v>
      </c>
      <c r="N55" s="7">
        <v>67.061000000000007</v>
      </c>
      <c r="O55" s="5">
        <v>0.56659999999999999</v>
      </c>
      <c r="P55" s="6">
        <v>272</v>
      </c>
      <c r="Q55" s="7">
        <v>80</v>
      </c>
      <c r="R55" s="7">
        <v>398</v>
      </c>
      <c r="S55" s="5">
        <v>0.20100502512562815</v>
      </c>
      <c r="T55" s="5">
        <v>0.24000600015000376</v>
      </c>
      <c r="U55" s="5">
        <v>0.83750000000000002</v>
      </c>
      <c r="V55" s="6">
        <v>114</v>
      </c>
      <c r="W55" s="5">
        <v>1.0767964580667777</v>
      </c>
      <c r="X55" s="6">
        <v>216</v>
      </c>
      <c r="Y55" s="7">
        <v>9.8332999999999995</v>
      </c>
      <c r="Z55" s="6">
        <v>95</v>
      </c>
      <c r="AA55" s="7">
        <v>8</v>
      </c>
      <c r="AB55" s="7">
        <v>98</v>
      </c>
      <c r="AC55" s="5">
        <v>8.1632653061224483E-2</v>
      </c>
      <c r="AD55" s="5">
        <v>0.1</v>
      </c>
      <c r="AE55" s="5">
        <v>0.81630000000000003</v>
      </c>
      <c r="AF55" s="6">
        <v>157</v>
      </c>
      <c r="AG55" s="5">
        <v>0.38746400000000003</v>
      </c>
      <c r="AH55" s="5">
        <v>0.4</v>
      </c>
      <c r="AI55" s="5">
        <v>0.96870000000000001</v>
      </c>
      <c r="AJ55" s="6">
        <v>100</v>
      </c>
      <c r="AK55" s="7">
        <v>3</v>
      </c>
      <c r="AL55" s="7">
        <v>10</v>
      </c>
      <c r="AM55" s="5">
        <v>0.3</v>
      </c>
      <c r="AN55" s="5">
        <v>0.8</v>
      </c>
      <c r="AO55" s="5">
        <v>0.375</v>
      </c>
      <c r="AP55" s="6">
        <v>324</v>
      </c>
    </row>
    <row r="56" spans="1:42">
      <c r="A56" s="10" t="str">
        <f>_xlfn.XLOOKUP(Table1[[#This Row],[SAP]],'Location List'!B:B,'Location List'!G:G)</f>
        <v>MO/IA/NE</v>
      </c>
      <c r="B56" s="10" t="str">
        <f>LEFT(Table1[[#This Row],[Sap: Loaction]],4)</f>
        <v>4ASN</v>
      </c>
      <c r="C56" s="7" t="s">
        <v>506</v>
      </c>
      <c r="D56" s="7" t="s">
        <v>575</v>
      </c>
      <c r="E56" s="6">
        <v>4</v>
      </c>
      <c r="F56" s="6">
        <v>217</v>
      </c>
      <c r="G56" s="7">
        <v>191.3</v>
      </c>
      <c r="H56" s="7" t="s">
        <v>471</v>
      </c>
      <c r="I56" s="4">
        <v>43.0809</v>
      </c>
      <c r="J56" s="4">
        <v>40.000835654596102</v>
      </c>
      <c r="K56" s="5">
        <v>1.077</v>
      </c>
      <c r="L56" s="6">
        <v>56</v>
      </c>
      <c r="M56" s="7">
        <v>104</v>
      </c>
      <c r="N56" s="7">
        <v>86.269000000000005</v>
      </c>
      <c r="O56" s="5">
        <v>1.2055</v>
      </c>
      <c r="P56" s="6">
        <v>45</v>
      </c>
      <c r="Q56" s="7">
        <v>148</v>
      </c>
      <c r="R56" s="7">
        <v>1005</v>
      </c>
      <c r="S56" s="5">
        <v>0.14726368159203981</v>
      </c>
      <c r="T56" s="5">
        <v>0.23999948108220306</v>
      </c>
      <c r="U56" s="5">
        <v>0.61360000000000003</v>
      </c>
      <c r="V56" s="6">
        <v>262</v>
      </c>
      <c r="W56" s="5">
        <v>1.4513317817569464</v>
      </c>
      <c r="X56" s="6">
        <v>106</v>
      </c>
      <c r="Y56" s="7">
        <v>8.8620999999999999</v>
      </c>
      <c r="Z56" s="6">
        <v>218</v>
      </c>
      <c r="AA56" s="7">
        <v>0</v>
      </c>
      <c r="AB56" s="7">
        <v>74</v>
      </c>
      <c r="AC56" s="5">
        <v>0</v>
      </c>
      <c r="AD56" s="5">
        <v>0.1</v>
      </c>
      <c r="AE56" s="5">
        <v>0</v>
      </c>
      <c r="AF56" s="6">
        <v>311</v>
      </c>
      <c r="AG56" s="5">
        <v>0.14699233333333334</v>
      </c>
      <c r="AH56" s="5">
        <v>0.4</v>
      </c>
      <c r="AI56" s="5">
        <v>0.36749999999999999</v>
      </c>
      <c r="AJ56" s="6">
        <v>320</v>
      </c>
      <c r="AK56" s="7">
        <v>13</v>
      </c>
      <c r="AL56" s="7">
        <v>22</v>
      </c>
      <c r="AM56" s="5">
        <v>0.59090909090909094</v>
      </c>
      <c r="AN56" s="5">
        <v>0.8</v>
      </c>
      <c r="AO56" s="5">
        <v>0.73860000000000003</v>
      </c>
      <c r="AP56" s="6">
        <v>258</v>
      </c>
    </row>
    <row r="57" spans="1:42">
      <c r="A57" s="10" t="str">
        <f>_xlfn.XLOOKUP(Table1[[#This Row],[SAP]],'Location List'!B:B,'Location List'!G:G)</f>
        <v>DFW NORTH</v>
      </c>
      <c r="B57" s="10" t="str">
        <f>LEFT(Table1[[#This Row],[Sap: Loaction]],4)</f>
        <v>1BSE</v>
      </c>
      <c r="C57" s="7" t="s">
        <v>506</v>
      </c>
      <c r="D57" s="7" t="s">
        <v>576</v>
      </c>
      <c r="E57" s="6">
        <v>4</v>
      </c>
      <c r="F57" s="6">
        <v>224</v>
      </c>
      <c r="G57" s="7">
        <v>194.5</v>
      </c>
      <c r="H57" s="7" t="s">
        <v>471</v>
      </c>
      <c r="I57" s="4">
        <v>25.703499999999998</v>
      </c>
      <c r="J57" s="4">
        <v>39.99922191098662</v>
      </c>
      <c r="K57" s="5">
        <v>0.64259999999999995</v>
      </c>
      <c r="L57" s="6">
        <v>184</v>
      </c>
      <c r="M57" s="7">
        <v>31</v>
      </c>
      <c r="N57" s="7">
        <v>44.814</v>
      </c>
      <c r="O57" s="5">
        <v>0.69169999999999998</v>
      </c>
      <c r="P57" s="6">
        <v>225</v>
      </c>
      <c r="Q57" s="7">
        <v>56</v>
      </c>
      <c r="R57" s="7">
        <v>421</v>
      </c>
      <c r="S57" s="5">
        <v>0.1330166270783848</v>
      </c>
      <c r="T57" s="5">
        <v>0.24001556672389893</v>
      </c>
      <c r="U57" s="5">
        <v>0.55420000000000003</v>
      </c>
      <c r="V57" s="6">
        <v>291</v>
      </c>
      <c r="W57" s="5">
        <v>0.87243783701265143</v>
      </c>
      <c r="X57" s="6">
        <v>282</v>
      </c>
      <c r="Y57" s="7">
        <v>9.4736999999999991</v>
      </c>
      <c r="Z57" s="6">
        <v>146</v>
      </c>
      <c r="AA57" s="7">
        <v>6</v>
      </c>
      <c r="AB57" s="7">
        <v>67</v>
      </c>
      <c r="AC57" s="5">
        <v>8.9552238805970144E-2</v>
      </c>
      <c r="AD57" s="5">
        <v>0.1</v>
      </c>
      <c r="AE57" s="5">
        <v>0.89549999999999996</v>
      </c>
      <c r="AF57" s="6">
        <v>146</v>
      </c>
      <c r="AG57" s="5">
        <v>0.51675433333333332</v>
      </c>
      <c r="AH57" s="5">
        <v>0.4</v>
      </c>
      <c r="AI57" s="5">
        <v>1.2919</v>
      </c>
      <c r="AJ57" s="6">
        <v>37</v>
      </c>
      <c r="AK57" s="7">
        <v>5</v>
      </c>
      <c r="AL57" s="7">
        <v>7</v>
      </c>
      <c r="AM57" s="5">
        <v>0.7142857142857143</v>
      </c>
      <c r="AN57" s="5">
        <v>0.8</v>
      </c>
      <c r="AO57" s="5">
        <v>0.89290000000000003</v>
      </c>
      <c r="AP57" s="6">
        <v>211</v>
      </c>
    </row>
    <row r="58" spans="1:42">
      <c r="A58" s="10" t="str">
        <f>_xlfn.XLOOKUP(Table1[[#This Row],[SAP]],'Location List'!B:B,'Location List'!G:G)</f>
        <v>CENTRAL TEXAS</v>
      </c>
      <c r="B58" s="10" t="str">
        <f>LEFT(Table1[[#This Row],[Sap: Loaction]],4)</f>
        <v>1DSF</v>
      </c>
      <c r="C58" s="7" t="s">
        <v>506</v>
      </c>
      <c r="D58" s="7" t="s">
        <v>577</v>
      </c>
      <c r="E58" s="6">
        <v>4</v>
      </c>
      <c r="F58" s="6">
        <v>227</v>
      </c>
      <c r="G58" s="7">
        <v>197.15</v>
      </c>
      <c r="H58" s="7" t="s">
        <v>471</v>
      </c>
      <c r="I58" s="4">
        <v>17.459</v>
      </c>
      <c r="J58" s="4">
        <v>35.002004811547714</v>
      </c>
      <c r="K58" s="5">
        <v>0.49880000000000002</v>
      </c>
      <c r="L58" s="6">
        <v>233</v>
      </c>
      <c r="M58" s="7">
        <v>17</v>
      </c>
      <c r="N58" s="7">
        <v>37.799999999999997</v>
      </c>
      <c r="O58" s="5">
        <v>0.44969999999999999</v>
      </c>
      <c r="P58" s="6">
        <v>312</v>
      </c>
      <c r="Q58" s="7">
        <v>55</v>
      </c>
      <c r="R58" s="7">
        <v>382</v>
      </c>
      <c r="S58" s="5">
        <v>0.14397905759162305</v>
      </c>
      <c r="T58" s="5">
        <v>0.24000509683551099</v>
      </c>
      <c r="U58" s="5">
        <v>0.59989999999999999</v>
      </c>
      <c r="V58" s="6">
        <v>270</v>
      </c>
      <c r="W58" s="5">
        <v>0.88779129575930016</v>
      </c>
      <c r="X58" s="6">
        <v>274</v>
      </c>
      <c r="Y58" s="7">
        <v>10</v>
      </c>
      <c r="Z58" s="6">
        <v>1</v>
      </c>
      <c r="AA58" s="7">
        <v>2</v>
      </c>
      <c r="AB58" s="7">
        <v>45</v>
      </c>
      <c r="AC58" s="5">
        <v>4.4444444444444446E-2</v>
      </c>
      <c r="AD58" s="5">
        <v>0.1</v>
      </c>
      <c r="AE58" s="5">
        <v>0.44440000000000002</v>
      </c>
      <c r="AF58" s="6">
        <v>232</v>
      </c>
      <c r="AG58" s="5">
        <v>0.66329933333333335</v>
      </c>
      <c r="AH58" s="5">
        <v>0.4</v>
      </c>
      <c r="AI58" s="5">
        <v>1.6581999999999999</v>
      </c>
      <c r="AJ58" s="6">
        <v>4</v>
      </c>
      <c r="AK58" s="7">
        <v>7</v>
      </c>
      <c r="AL58" s="7">
        <v>8</v>
      </c>
      <c r="AM58" s="5">
        <v>0.875</v>
      </c>
      <c r="AN58" s="5">
        <v>0.8</v>
      </c>
      <c r="AO58" s="5">
        <v>1.0938000000000001</v>
      </c>
      <c r="AP58" s="6">
        <v>122</v>
      </c>
    </row>
    <row r="59" spans="1:42">
      <c r="A59" s="10" t="str">
        <f>_xlfn.XLOOKUP(Table1[[#This Row],[SAP]],'Location List'!B:B,'Location List'!G:G)</f>
        <v>CENTRAL TEXAS</v>
      </c>
      <c r="B59" s="10" t="str">
        <f>LEFT(Table1[[#This Row],[Sap: Loaction]],4)</f>
        <v>961F</v>
      </c>
      <c r="C59" s="7" t="s">
        <v>506</v>
      </c>
      <c r="D59" s="7" t="s">
        <v>578</v>
      </c>
      <c r="E59" s="6">
        <v>4</v>
      </c>
      <c r="F59" s="6">
        <v>228</v>
      </c>
      <c r="G59" s="7">
        <v>197.45</v>
      </c>
      <c r="H59" s="7" t="s">
        <v>471</v>
      </c>
      <c r="I59" s="4">
        <v>11.055899999999999</v>
      </c>
      <c r="J59" s="4">
        <v>34.998100664767328</v>
      </c>
      <c r="K59" s="5">
        <v>0.31590000000000001</v>
      </c>
      <c r="L59" s="6">
        <v>278</v>
      </c>
      <c r="M59" s="7">
        <v>26</v>
      </c>
      <c r="N59" s="7">
        <v>25.608000000000001</v>
      </c>
      <c r="O59" s="5">
        <v>1.0153000000000001</v>
      </c>
      <c r="P59" s="6">
        <v>98</v>
      </c>
      <c r="Q59" s="7">
        <v>36</v>
      </c>
      <c r="R59" s="7">
        <v>157</v>
      </c>
      <c r="S59" s="5">
        <v>0.22929936305732485</v>
      </c>
      <c r="T59" s="5">
        <v>0.24000352005162742</v>
      </c>
      <c r="U59" s="5">
        <v>0.95540000000000003</v>
      </c>
      <c r="V59" s="6">
        <v>66</v>
      </c>
      <c r="W59" s="5">
        <v>1.3196324888265594</v>
      </c>
      <c r="X59" s="6">
        <v>140</v>
      </c>
      <c r="Y59" s="7">
        <v>3.3332999999999999</v>
      </c>
      <c r="Z59" s="6">
        <v>357</v>
      </c>
      <c r="AA59" s="7">
        <v>1</v>
      </c>
      <c r="AB59" s="7">
        <v>23</v>
      </c>
      <c r="AC59" s="5">
        <v>4.3478260869565216E-2</v>
      </c>
      <c r="AD59" s="5">
        <v>0.1</v>
      </c>
      <c r="AE59" s="5">
        <v>0.43480000000000002</v>
      </c>
      <c r="AF59" s="6">
        <v>233</v>
      </c>
      <c r="AG59" s="5">
        <v>0.27777766666666664</v>
      </c>
      <c r="AH59" s="5">
        <v>0.4</v>
      </c>
      <c r="AI59" s="5">
        <v>0.69440000000000002</v>
      </c>
      <c r="AJ59" s="6">
        <v>201</v>
      </c>
      <c r="AK59" s="7">
        <v>4</v>
      </c>
      <c r="AL59" s="7">
        <v>7</v>
      </c>
      <c r="AM59" s="5">
        <v>0.5714285714285714</v>
      </c>
      <c r="AN59" s="5">
        <v>0.8</v>
      </c>
      <c r="AO59" s="5">
        <v>0.71430000000000005</v>
      </c>
      <c r="AP59" s="6">
        <v>264</v>
      </c>
    </row>
    <row r="60" spans="1:42">
      <c r="A60" s="10" t="str">
        <f>_xlfn.XLOOKUP(Table1[[#This Row],[SAP]],'Location List'!B:B,'Location List'!G:G)</f>
        <v>DFW EAST</v>
      </c>
      <c r="B60" s="10" t="str">
        <f>LEFT(Table1[[#This Row],[Sap: Loaction]],4)</f>
        <v>6ESH</v>
      </c>
      <c r="C60" s="7" t="s">
        <v>506</v>
      </c>
      <c r="D60" s="7" t="s">
        <v>579</v>
      </c>
      <c r="E60" s="6">
        <v>4</v>
      </c>
      <c r="F60" s="6">
        <v>232</v>
      </c>
      <c r="G60" s="7">
        <v>199.9</v>
      </c>
      <c r="H60" s="7" t="s">
        <v>471</v>
      </c>
      <c r="I60" s="4">
        <v>28.1252</v>
      </c>
      <c r="J60" s="4">
        <v>40.00170672735031</v>
      </c>
      <c r="K60" s="5">
        <v>0.70309999999999995</v>
      </c>
      <c r="L60" s="6">
        <v>165</v>
      </c>
      <c r="M60" s="7">
        <v>53</v>
      </c>
      <c r="N60" s="7">
        <v>73.772999999999996</v>
      </c>
      <c r="O60" s="5">
        <v>0.71840000000000004</v>
      </c>
      <c r="P60" s="6">
        <v>216</v>
      </c>
      <c r="Q60" s="7">
        <v>88</v>
      </c>
      <c r="R60" s="7">
        <v>528</v>
      </c>
      <c r="S60" s="5">
        <v>0.16666666666666666</v>
      </c>
      <c r="T60" s="5">
        <v>0.24001536098310289</v>
      </c>
      <c r="U60" s="5">
        <v>0.69440000000000002</v>
      </c>
      <c r="V60" s="6">
        <v>201</v>
      </c>
      <c r="W60" s="5">
        <v>0.92936427896503471</v>
      </c>
      <c r="X60" s="6">
        <v>260</v>
      </c>
      <c r="Y60" s="7">
        <v>9.7058999999999997</v>
      </c>
      <c r="Z60" s="6">
        <v>123</v>
      </c>
      <c r="AA60" s="7">
        <v>7</v>
      </c>
      <c r="AB60" s="7">
        <v>103</v>
      </c>
      <c r="AC60" s="5">
        <v>6.7961165048543687E-2</v>
      </c>
      <c r="AD60" s="5">
        <v>0.1</v>
      </c>
      <c r="AE60" s="5">
        <v>0.67959999999999998</v>
      </c>
      <c r="AF60" s="6">
        <v>182</v>
      </c>
      <c r="AG60" s="5">
        <v>0.27341266666666669</v>
      </c>
      <c r="AH60" s="5">
        <v>0.4</v>
      </c>
      <c r="AI60" s="5">
        <v>0.6835</v>
      </c>
      <c r="AJ60" s="6">
        <v>210</v>
      </c>
      <c r="AK60" s="7">
        <v>10</v>
      </c>
      <c r="AL60" s="7">
        <v>17</v>
      </c>
      <c r="AM60" s="5">
        <v>0.58823529411764708</v>
      </c>
      <c r="AN60" s="5">
        <v>0.8</v>
      </c>
      <c r="AO60" s="5">
        <v>0.73529999999999995</v>
      </c>
      <c r="AP60" s="6">
        <v>260</v>
      </c>
    </row>
    <row r="61" spans="1:42">
      <c r="A61" s="10" t="str">
        <f>_xlfn.XLOOKUP(Table1[[#This Row],[SAP]],'Location List'!B:B,'Location List'!G:G)</f>
        <v>DFW EAST</v>
      </c>
      <c r="B61" s="10" t="str">
        <f>LEFT(Table1[[#This Row],[Sap: Loaction]],4)</f>
        <v>1357</v>
      </c>
      <c r="C61" s="7" t="s">
        <v>506</v>
      </c>
      <c r="D61" s="7" t="s">
        <v>580</v>
      </c>
      <c r="E61" s="6">
        <v>4</v>
      </c>
      <c r="F61" s="6">
        <v>235</v>
      </c>
      <c r="G61" s="7">
        <v>200.5</v>
      </c>
      <c r="H61" s="7" t="s">
        <v>471</v>
      </c>
      <c r="I61" s="4">
        <v>31.537199999999999</v>
      </c>
      <c r="J61" s="4">
        <v>40.00152207001522</v>
      </c>
      <c r="K61" s="5">
        <v>0.78839999999999999</v>
      </c>
      <c r="L61" s="6">
        <v>141</v>
      </c>
      <c r="M61" s="7">
        <v>76</v>
      </c>
      <c r="N61" s="7">
        <v>99.375</v>
      </c>
      <c r="O61" s="5">
        <v>0.76480000000000004</v>
      </c>
      <c r="P61" s="6">
        <v>192</v>
      </c>
      <c r="Q61" s="7">
        <v>127</v>
      </c>
      <c r="R61" s="7">
        <v>839</v>
      </c>
      <c r="S61" s="5">
        <v>0.15137067938021453</v>
      </c>
      <c r="T61" s="5">
        <v>0.24000424826417396</v>
      </c>
      <c r="U61" s="5">
        <v>0.63070000000000004</v>
      </c>
      <c r="V61" s="6">
        <v>253</v>
      </c>
      <c r="W61" s="5">
        <v>0.87158270726338227</v>
      </c>
      <c r="X61" s="6">
        <v>283</v>
      </c>
      <c r="Y61" s="7">
        <v>9</v>
      </c>
      <c r="Z61" s="6">
        <v>194</v>
      </c>
      <c r="AA61" s="7">
        <v>8</v>
      </c>
      <c r="AB61" s="7">
        <v>119</v>
      </c>
      <c r="AC61" s="5">
        <v>6.7226890756302518E-2</v>
      </c>
      <c r="AD61" s="5">
        <v>0.1</v>
      </c>
      <c r="AE61" s="5">
        <v>0.67230000000000001</v>
      </c>
      <c r="AF61" s="6">
        <v>184</v>
      </c>
      <c r="AG61" s="5">
        <v>0.29233466666666669</v>
      </c>
      <c r="AH61" s="5">
        <v>0.4</v>
      </c>
      <c r="AI61" s="5">
        <v>0.73080000000000001</v>
      </c>
      <c r="AJ61" s="6">
        <v>188</v>
      </c>
      <c r="AK61" s="7">
        <v>10</v>
      </c>
      <c r="AL61" s="7">
        <v>13</v>
      </c>
      <c r="AM61" s="5">
        <v>0.76923076923076927</v>
      </c>
      <c r="AN61" s="5">
        <v>0.8</v>
      </c>
      <c r="AO61" s="5">
        <v>0.96150000000000002</v>
      </c>
      <c r="AP61" s="6">
        <v>185</v>
      </c>
    </row>
    <row r="62" spans="1:42">
      <c r="A62" s="10" t="str">
        <f>_xlfn.XLOOKUP(Table1[[#This Row],[SAP]],'Location List'!B:B,'Location List'!G:G)</f>
        <v>MO/IA/NE</v>
      </c>
      <c r="B62" s="10" t="str">
        <f>LEFT(Table1[[#This Row],[Sap: Loaction]],4)</f>
        <v>4ASA</v>
      </c>
      <c r="C62" s="7" t="s">
        <v>506</v>
      </c>
      <c r="D62" s="7" t="s">
        <v>581</v>
      </c>
      <c r="E62" s="6">
        <v>4</v>
      </c>
      <c r="F62" s="6">
        <v>237</v>
      </c>
      <c r="G62" s="7">
        <v>200.75</v>
      </c>
      <c r="H62" s="7" t="s">
        <v>471</v>
      </c>
      <c r="I62" s="4">
        <v>39.938299999999998</v>
      </c>
      <c r="J62" s="4">
        <v>39.998297446169246</v>
      </c>
      <c r="K62" s="5">
        <v>0.99850000000000005</v>
      </c>
      <c r="L62" s="6">
        <v>81</v>
      </c>
      <c r="M62" s="7">
        <v>63</v>
      </c>
      <c r="N62" s="7">
        <v>35.970999999999997</v>
      </c>
      <c r="O62" s="5">
        <v>1.7514000000000001</v>
      </c>
      <c r="P62" s="6">
        <v>5</v>
      </c>
      <c r="Q62" s="7">
        <v>95</v>
      </c>
      <c r="R62" s="7">
        <v>710</v>
      </c>
      <c r="S62" s="5">
        <v>0.13380281690140844</v>
      </c>
      <c r="T62" s="5">
        <v>0.24000505273795236</v>
      </c>
      <c r="U62" s="5">
        <v>0.5575</v>
      </c>
      <c r="V62" s="6">
        <v>289</v>
      </c>
      <c r="W62" s="5">
        <v>0.93466724032171755</v>
      </c>
      <c r="X62" s="6">
        <v>258</v>
      </c>
      <c r="Y62" s="7">
        <v>8.7332999999999998</v>
      </c>
      <c r="Z62" s="6">
        <v>237</v>
      </c>
      <c r="AA62" s="7">
        <v>1</v>
      </c>
      <c r="AB62" s="7">
        <v>34</v>
      </c>
      <c r="AC62" s="5">
        <v>2.9411764705882353E-2</v>
      </c>
      <c r="AD62" s="5">
        <v>0.1</v>
      </c>
      <c r="AE62" s="5">
        <v>0.29409999999999997</v>
      </c>
      <c r="AF62" s="6">
        <v>264</v>
      </c>
      <c r="AG62" s="5">
        <v>0.12038266666666668</v>
      </c>
      <c r="AH62" s="5">
        <v>0.4</v>
      </c>
      <c r="AI62" s="5">
        <v>0.30099999999999999</v>
      </c>
      <c r="AJ62" s="6">
        <v>335</v>
      </c>
      <c r="AK62" s="7">
        <v>7</v>
      </c>
      <c r="AL62" s="7">
        <v>10</v>
      </c>
      <c r="AM62" s="5">
        <v>0.7</v>
      </c>
      <c r="AN62" s="5">
        <v>0.8</v>
      </c>
      <c r="AO62" s="5">
        <v>0.875</v>
      </c>
      <c r="AP62" s="6">
        <v>219</v>
      </c>
    </row>
    <row r="63" spans="1:42">
      <c r="A63" s="10" t="str">
        <f>_xlfn.XLOOKUP(Table1[[#This Row],[SAP]],'Location List'!B:B,'Location List'!G:G)</f>
        <v>DFW NORTH</v>
      </c>
      <c r="B63" s="10" t="str">
        <f>LEFT(Table1[[#This Row],[Sap: Loaction]],4)</f>
        <v>465D</v>
      </c>
      <c r="C63" s="7" t="s">
        <v>506</v>
      </c>
      <c r="D63" s="7" t="s">
        <v>582</v>
      </c>
      <c r="E63" s="6">
        <v>4</v>
      </c>
      <c r="F63" s="6">
        <v>242</v>
      </c>
      <c r="G63" s="7">
        <v>201</v>
      </c>
      <c r="H63" s="7" t="s">
        <v>471</v>
      </c>
      <c r="I63" s="4">
        <v>12.566700000000001</v>
      </c>
      <c r="J63" s="4">
        <v>39.995862507956723</v>
      </c>
      <c r="K63" s="5">
        <v>0.31419999999999998</v>
      </c>
      <c r="L63" s="6">
        <v>279</v>
      </c>
      <c r="M63" s="7">
        <v>34</v>
      </c>
      <c r="N63" s="7">
        <v>46.335000000000001</v>
      </c>
      <c r="O63" s="5">
        <v>0.73380000000000001</v>
      </c>
      <c r="P63" s="6">
        <v>206</v>
      </c>
      <c r="Q63" s="7">
        <v>85</v>
      </c>
      <c r="R63" s="7">
        <v>441</v>
      </c>
      <c r="S63" s="5">
        <v>0.1927437641723356</v>
      </c>
      <c r="T63" s="5">
        <v>0.23999970635330045</v>
      </c>
      <c r="U63" s="5">
        <v>0.80310000000000004</v>
      </c>
      <c r="V63" s="6">
        <v>133</v>
      </c>
      <c r="W63" s="5">
        <v>0.98639036171355832</v>
      </c>
      <c r="X63" s="6">
        <v>237</v>
      </c>
      <c r="Y63" s="7">
        <v>10</v>
      </c>
      <c r="Z63" s="6">
        <v>1</v>
      </c>
      <c r="AA63" s="7">
        <v>2</v>
      </c>
      <c r="AB63" s="7">
        <v>90</v>
      </c>
      <c r="AC63" s="5">
        <v>2.2222222222222223E-2</v>
      </c>
      <c r="AD63" s="5">
        <v>0.1</v>
      </c>
      <c r="AE63" s="5">
        <v>0.22220000000000001</v>
      </c>
      <c r="AF63" s="6">
        <v>286</v>
      </c>
      <c r="AG63" s="5">
        <v>0.15728699999999998</v>
      </c>
      <c r="AH63" s="5">
        <v>0.4</v>
      </c>
      <c r="AI63" s="5">
        <v>0.39319999999999999</v>
      </c>
      <c r="AJ63" s="6">
        <v>313</v>
      </c>
      <c r="AK63" s="7">
        <v>20</v>
      </c>
      <c r="AL63" s="7">
        <v>22</v>
      </c>
      <c r="AM63" s="5">
        <v>0.90909090909090906</v>
      </c>
      <c r="AN63" s="5">
        <v>0.8</v>
      </c>
      <c r="AO63" s="5">
        <v>1.1364000000000001</v>
      </c>
      <c r="AP63" s="6">
        <v>103</v>
      </c>
    </row>
    <row r="64" spans="1:42">
      <c r="A64" s="10" t="str">
        <f>_xlfn.XLOOKUP(Table1[[#This Row],[SAP]],'Location List'!B:B,'Location List'!G:G)</f>
        <v>WEST TEXAS</v>
      </c>
      <c r="B64" s="10" t="str">
        <f>LEFT(Table1[[#This Row],[Sap: Loaction]],4)</f>
        <v>930E</v>
      </c>
      <c r="C64" s="7" t="s">
        <v>506</v>
      </c>
      <c r="D64" s="7" t="s">
        <v>583</v>
      </c>
      <c r="E64" s="6">
        <v>4</v>
      </c>
      <c r="F64" s="6">
        <v>249</v>
      </c>
      <c r="G64" s="7">
        <v>207.25</v>
      </c>
      <c r="H64" s="7" t="s">
        <v>471</v>
      </c>
      <c r="I64" s="4">
        <v>21.9481</v>
      </c>
      <c r="J64" s="4">
        <v>40.000182248952072</v>
      </c>
      <c r="K64" s="5">
        <v>0.54869999999999997</v>
      </c>
      <c r="L64" s="6">
        <v>215</v>
      </c>
      <c r="M64" s="7">
        <v>24</v>
      </c>
      <c r="N64" s="7">
        <v>61.576999999999998</v>
      </c>
      <c r="O64" s="5">
        <v>0.38979999999999998</v>
      </c>
      <c r="P64" s="6">
        <v>328</v>
      </c>
      <c r="Q64" s="7">
        <v>66</v>
      </c>
      <c r="R64" s="7">
        <v>391</v>
      </c>
      <c r="S64" s="5">
        <v>0.16879795396419436</v>
      </c>
      <c r="T64" s="5">
        <v>0.24000846575315563</v>
      </c>
      <c r="U64" s="5">
        <v>0.70330000000000004</v>
      </c>
      <c r="V64" s="6">
        <v>198</v>
      </c>
      <c r="W64" s="5">
        <v>0.93565560358200839</v>
      </c>
      <c r="X64" s="6">
        <v>257</v>
      </c>
      <c r="Y64" s="7">
        <v>9</v>
      </c>
      <c r="Z64" s="6">
        <v>194</v>
      </c>
      <c r="AA64" s="7">
        <v>9</v>
      </c>
      <c r="AB64" s="7">
        <v>61</v>
      </c>
      <c r="AC64" s="5">
        <v>0.14754098360655737</v>
      </c>
      <c r="AD64" s="5">
        <v>0.1</v>
      </c>
      <c r="AE64" s="5">
        <v>1.4754</v>
      </c>
      <c r="AF64" s="6">
        <v>78</v>
      </c>
      <c r="AG64" s="5">
        <v>0.462121</v>
      </c>
      <c r="AH64" s="5">
        <v>0.4</v>
      </c>
      <c r="AI64" s="5">
        <v>1.1553</v>
      </c>
      <c r="AJ64" s="6">
        <v>57</v>
      </c>
      <c r="AK64" s="7">
        <v>1</v>
      </c>
      <c r="AL64" s="7">
        <v>9</v>
      </c>
      <c r="AM64" s="5">
        <v>0.1111111111111111</v>
      </c>
      <c r="AN64" s="5">
        <v>0.8</v>
      </c>
      <c r="AO64" s="5">
        <v>0.1389</v>
      </c>
      <c r="AP64" s="6">
        <v>336</v>
      </c>
    </row>
    <row r="65" spans="1:42">
      <c r="A65" s="10" t="str">
        <f>_xlfn.XLOOKUP(Table1[[#This Row],[SAP]],'Location List'!B:B,'Location List'!G:G)</f>
        <v>DFW NORTH</v>
      </c>
      <c r="B65" s="10" t="str">
        <f>LEFT(Table1[[#This Row],[Sap: Loaction]],4)</f>
        <v>5761</v>
      </c>
      <c r="C65" s="7" t="s">
        <v>506</v>
      </c>
      <c r="D65" s="7" t="s">
        <v>584</v>
      </c>
      <c r="E65" s="6">
        <v>4</v>
      </c>
      <c r="F65" s="6">
        <v>257</v>
      </c>
      <c r="G65" s="7">
        <v>211.2</v>
      </c>
      <c r="H65" s="7" t="s">
        <v>471</v>
      </c>
      <c r="I65" s="4">
        <v>19.417300000000001</v>
      </c>
      <c r="J65" s="4">
        <v>30.002008652657604</v>
      </c>
      <c r="K65" s="5">
        <v>0.6472</v>
      </c>
      <c r="L65" s="6">
        <v>183</v>
      </c>
      <c r="M65" s="7">
        <v>11</v>
      </c>
      <c r="N65" s="7">
        <v>16.766999999999999</v>
      </c>
      <c r="O65" s="5">
        <v>0.65610000000000002</v>
      </c>
      <c r="P65" s="6">
        <v>231</v>
      </c>
      <c r="Q65" s="7">
        <v>17</v>
      </c>
      <c r="R65" s="7">
        <v>149</v>
      </c>
      <c r="S65" s="5">
        <v>0.11409395973154363</v>
      </c>
      <c r="T65" s="5">
        <v>0.23999570831203962</v>
      </c>
      <c r="U65" s="5">
        <v>0.47539999999999999</v>
      </c>
      <c r="V65" s="6">
        <v>325</v>
      </c>
      <c r="W65" s="5">
        <v>1.6632844470846835</v>
      </c>
      <c r="X65" s="6">
        <v>64</v>
      </c>
      <c r="Y65" s="7">
        <v>7.5</v>
      </c>
      <c r="Z65" s="6">
        <v>322</v>
      </c>
      <c r="AA65" s="7">
        <v>0</v>
      </c>
      <c r="AB65" s="7">
        <v>13</v>
      </c>
      <c r="AC65" s="5">
        <v>0</v>
      </c>
      <c r="AD65" s="5">
        <v>0.1</v>
      </c>
      <c r="AE65" s="5">
        <v>0</v>
      </c>
      <c r="AF65" s="6">
        <v>311</v>
      </c>
      <c r="AG65" s="5">
        <v>0.33333333333333331</v>
      </c>
      <c r="AH65" s="5">
        <v>0.4</v>
      </c>
      <c r="AI65" s="5">
        <v>0.83330000000000004</v>
      </c>
      <c r="AJ65" s="6">
        <v>150</v>
      </c>
      <c r="AK65" s="7">
        <v>3</v>
      </c>
      <c r="AL65" s="7">
        <v>3</v>
      </c>
      <c r="AM65" s="5">
        <v>1</v>
      </c>
      <c r="AN65" s="5">
        <v>0.8</v>
      </c>
      <c r="AO65" s="5">
        <v>1.25</v>
      </c>
      <c r="AP65" s="6">
        <v>1</v>
      </c>
    </row>
    <row r="66" spans="1:42">
      <c r="A66" s="10" t="str">
        <f>_xlfn.XLOOKUP(Table1[[#This Row],[SAP]],'Location List'!B:B,'Location List'!G:G)</f>
        <v>DFW EAST</v>
      </c>
      <c r="B66" s="10" t="str">
        <f>LEFT(Table1[[#This Row],[Sap: Loaction]],4)</f>
        <v>2819</v>
      </c>
      <c r="C66" s="7" t="s">
        <v>506</v>
      </c>
      <c r="D66" s="7" t="s">
        <v>585</v>
      </c>
      <c r="E66" s="6">
        <v>4</v>
      </c>
      <c r="F66" s="6">
        <v>262</v>
      </c>
      <c r="G66" s="7">
        <v>213.45</v>
      </c>
      <c r="H66" s="7" t="s">
        <v>471</v>
      </c>
      <c r="I66" s="4">
        <v>-2.8799000000000001</v>
      </c>
      <c r="J66" s="4">
        <v>39.998611111111117</v>
      </c>
      <c r="K66" s="5">
        <v>-7.1999999999999995E-2</v>
      </c>
      <c r="L66" s="6">
        <v>334</v>
      </c>
      <c r="M66" s="7">
        <v>81</v>
      </c>
      <c r="N66" s="7">
        <v>73.462999999999994</v>
      </c>
      <c r="O66" s="5">
        <v>1.1026</v>
      </c>
      <c r="P66" s="6">
        <v>68</v>
      </c>
      <c r="Q66" s="7">
        <v>128</v>
      </c>
      <c r="R66" s="7">
        <v>719</v>
      </c>
      <c r="S66" s="5">
        <v>0.1780250347705146</v>
      </c>
      <c r="T66" s="5">
        <v>0.23999061036736935</v>
      </c>
      <c r="U66" s="5">
        <v>0.74180000000000001</v>
      </c>
      <c r="V66" s="6">
        <v>168</v>
      </c>
      <c r="W66" s="5">
        <v>1.0103207313879379</v>
      </c>
      <c r="X66" s="6">
        <v>230</v>
      </c>
      <c r="Y66" s="7">
        <v>8</v>
      </c>
      <c r="Z66" s="6">
        <v>291</v>
      </c>
      <c r="AA66" s="7">
        <v>4</v>
      </c>
      <c r="AB66" s="7">
        <v>92</v>
      </c>
      <c r="AC66" s="5">
        <v>4.3478260869565216E-2</v>
      </c>
      <c r="AD66" s="5">
        <v>0.1</v>
      </c>
      <c r="AE66" s="5">
        <v>0.43480000000000002</v>
      </c>
      <c r="AF66" s="6">
        <v>233</v>
      </c>
      <c r="AG66" s="5">
        <v>0.38645866666666667</v>
      </c>
      <c r="AH66" s="5">
        <v>0.4</v>
      </c>
      <c r="AI66" s="5">
        <v>0.96609999999999996</v>
      </c>
      <c r="AJ66" s="6">
        <v>101</v>
      </c>
      <c r="AK66" s="7">
        <v>5</v>
      </c>
      <c r="AL66" s="7">
        <v>12</v>
      </c>
      <c r="AM66" s="5">
        <v>0.41666666666666669</v>
      </c>
      <c r="AN66" s="5">
        <v>0.8</v>
      </c>
      <c r="AO66" s="5">
        <v>0.52080000000000004</v>
      </c>
      <c r="AP66" s="6">
        <v>308</v>
      </c>
    </row>
    <row r="67" spans="1:42">
      <c r="A67" s="10" t="str">
        <f>_xlfn.XLOOKUP(Table1[[#This Row],[SAP]],'Location List'!B:B,'Location List'!G:G)</f>
        <v>WEST TEXAS</v>
      </c>
      <c r="B67" s="10" t="str">
        <f>LEFT(Table1[[#This Row],[Sap: Loaction]],4)</f>
        <v>922E</v>
      </c>
      <c r="C67" s="7" t="s">
        <v>506</v>
      </c>
      <c r="D67" s="7" t="s">
        <v>586</v>
      </c>
      <c r="E67" s="6">
        <v>4</v>
      </c>
      <c r="F67" s="6">
        <v>265</v>
      </c>
      <c r="G67" s="7">
        <v>215.8</v>
      </c>
      <c r="H67" s="7" t="s">
        <v>471</v>
      </c>
      <c r="I67" s="4">
        <v>78.332800000000006</v>
      </c>
      <c r="J67" s="4">
        <v>40.000408517591794</v>
      </c>
      <c r="K67" s="5">
        <v>1.9582999999999999</v>
      </c>
      <c r="L67" s="6">
        <v>5</v>
      </c>
      <c r="M67" s="7">
        <v>46</v>
      </c>
      <c r="N67" s="7">
        <v>56.087000000000003</v>
      </c>
      <c r="O67" s="5">
        <v>0.82020000000000004</v>
      </c>
      <c r="P67" s="6">
        <v>170</v>
      </c>
      <c r="Q67" s="7">
        <v>73</v>
      </c>
      <c r="R67" s="7">
        <v>529</v>
      </c>
      <c r="S67" s="5">
        <v>0.13799621928166353</v>
      </c>
      <c r="T67" s="5">
        <v>0.23999342483767572</v>
      </c>
      <c r="U67" s="5">
        <v>0.57499999999999996</v>
      </c>
      <c r="V67" s="6">
        <v>282</v>
      </c>
      <c r="W67" s="5">
        <v>0.53786761318465404</v>
      </c>
      <c r="X67" s="6">
        <v>339</v>
      </c>
      <c r="Y67" s="7">
        <v>8</v>
      </c>
      <c r="Z67" s="6">
        <v>291</v>
      </c>
      <c r="AA67" s="7">
        <v>0</v>
      </c>
      <c r="AB67" s="7">
        <v>55</v>
      </c>
      <c r="AC67" s="5">
        <v>0</v>
      </c>
      <c r="AD67" s="5">
        <v>0.1</v>
      </c>
      <c r="AE67" s="5">
        <v>0</v>
      </c>
      <c r="AF67" s="6">
        <v>311</v>
      </c>
      <c r="AG67" s="5">
        <v>0.23830366666666666</v>
      </c>
      <c r="AH67" s="5">
        <v>0.4</v>
      </c>
      <c r="AI67" s="5">
        <v>0.5958</v>
      </c>
      <c r="AJ67" s="6">
        <v>242</v>
      </c>
      <c r="AK67" s="7">
        <v>12</v>
      </c>
      <c r="AL67" s="7">
        <v>14</v>
      </c>
      <c r="AM67" s="5">
        <v>0.8571428571428571</v>
      </c>
      <c r="AN67" s="5">
        <v>0.8</v>
      </c>
      <c r="AO67" s="5">
        <v>1.0713999999999999</v>
      </c>
      <c r="AP67" s="6">
        <v>134</v>
      </c>
    </row>
    <row r="68" spans="1:42">
      <c r="A68" s="10" t="str">
        <f>_xlfn.XLOOKUP(Table1[[#This Row],[SAP]],'Location List'!B:B,'Location List'!G:G)</f>
        <v>KS/OK</v>
      </c>
      <c r="B68" s="10" t="str">
        <f>LEFT(Table1[[#This Row],[Sap: Loaction]],4)</f>
        <v>407D</v>
      </c>
      <c r="C68" s="7" t="s">
        <v>506</v>
      </c>
      <c r="D68" s="7" t="s">
        <v>587</v>
      </c>
      <c r="E68" s="6">
        <v>4</v>
      </c>
      <c r="F68" s="6">
        <v>270</v>
      </c>
      <c r="G68" s="7">
        <v>217.05</v>
      </c>
      <c r="H68" s="7" t="s">
        <v>471</v>
      </c>
      <c r="I68" s="4">
        <v>21.099</v>
      </c>
      <c r="J68" s="4">
        <v>39.998104265402844</v>
      </c>
      <c r="K68" s="5">
        <v>0.52749999999999997</v>
      </c>
      <c r="L68" s="6">
        <v>222</v>
      </c>
      <c r="M68" s="7">
        <v>51</v>
      </c>
      <c r="N68" s="7">
        <v>78.039000000000001</v>
      </c>
      <c r="O68" s="5">
        <v>0.65349999999999997</v>
      </c>
      <c r="P68" s="6">
        <v>237</v>
      </c>
      <c r="Q68" s="7">
        <v>72</v>
      </c>
      <c r="R68" s="7">
        <v>729</v>
      </c>
      <c r="S68" s="5">
        <v>9.8765432098765427E-2</v>
      </c>
      <c r="T68" s="5">
        <v>0.24001320072603993</v>
      </c>
      <c r="U68" s="5">
        <v>0.41149999999999998</v>
      </c>
      <c r="V68" s="6">
        <v>343</v>
      </c>
      <c r="W68" s="5">
        <v>0.95972042828504811</v>
      </c>
      <c r="X68" s="6">
        <v>245</v>
      </c>
      <c r="Y68" s="7">
        <v>10</v>
      </c>
      <c r="Z68" s="6">
        <v>1</v>
      </c>
      <c r="AA68" s="7">
        <v>3</v>
      </c>
      <c r="AB68" s="7">
        <v>103</v>
      </c>
      <c r="AC68" s="5">
        <v>2.9126213592233011E-2</v>
      </c>
      <c r="AD68" s="5">
        <v>0.1</v>
      </c>
      <c r="AE68" s="5">
        <v>0.2913</v>
      </c>
      <c r="AF68" s="6">
        <v>267</v>
      </c>
      <c r="AG68" s="5">
        <v>0.422817</v>
      </c>
      <c r="AH68" s="5">
        <v>0.4</v>
      </c>
      <c r="AI68" s="5">
        <v>1.0569999999999999</v>
      </c>
      <c r="AJ68" s="6">
        <v>77</v>
      </c>
      <c r="AK68" s="7">
        <v>7</v>
      </c>
      <c r="AL68" s="7">
        <v>11</v>
      </c>
      <c r="AM68" s="5">
        <v>0.63636363636363635</v>
      </c>
      <c r="AN68" s="5">
        <v>0.8</v>
      </c>
      <c r="AO68" s="5">
        <v>0.79549999999999998</v>
      </c>
      <c r="AP68" s="6">
        <v>244</v>
      </c>
    </row>
    <row r="69" spans="1:42">
      <c r="A69" s="10" t="str">
        <f>_xlfn.XLOOKUP(Table1[[#This Row],[SAP]],'Location List'!B:B,'Location List'!G:G)</f>
        <v>DFW NORTH</v>
      </c>
      <c r="B69" s="10" t="str">
        <f>LEFT(Table1[[#This Row],[Sap: Loaction]],4)</f>
        <v>211E</v>
      </c>
      <c r="C69" s="7" t="s">
        <v>506</v>
      </c>
      <c r="D69" s="7" t="s">
        <v>588</v>
      </c>
      <c r="E69" s="6">
        <v>4</v>
      </c>
      <c r="F69" s="6">
        <v>275</v>
      </c>
      <c r="G69" s="7">
        <v>219.9</v>
      </c>
      <c r="H69" s="7" t="s">
        <v>471</v>
      </c>
      <c r="I69" s="4">
        <v>23.8947</v>
      </c>
      <c r="J69" s="4">
        <v>35.000292954445584</v>
      </c>
      <c r="K69" s="5">
        <v>0.68269999999999997</v>
      </c>
      <c r="L69" s="6">
        <v>171</v>
      </c>
      <c r="M69" s="7">
        <v>28</v>
      </c>
      <c r="N69" s="7">
        <v>44.201000000000001</v>
      </c>
      <c r="O69" s="5">
        <v>0.63349999999999995</v>
      </c>
      <c r="P69" s="6">
        <v>247</v>
      </c>
      <c r="Q69" s="7">
        <v>45</v>
      </c>
      <c r="R69" s="7">
        <v>400</v>
      </c>
      <c r="S69" s="5">
        <v>0.1125</v>
      </c>
      <c r="T69" s="5">
        <v>0.23997440273037543</v>
      </c>
      <c r="U69" s="5">
        <v>0.46879999999999999</v>
      </c>
      <c r="V69" s="6">
        <v>327</v>
      </c>
      <c r="W69" s="5">
        <v>1.1775949265497176</v>
      </c>
      <c r="X69" s="6">
        <v>182</v>
      </c>
      <c r="Y69" s="7">
        <v>9.2727000000000004</v>
      </c>
      <c r="Z69" s="6">
        <v>165</v>
      </c>
      <c r="AA69" s="7">
        <v>0</v>
      </c>
      <c r="AB69" s="7">
        <v>83</v>
      </c>
      <c r="AC69" s="5">
        <v>0</v>
      </c>
      <c r="AD69" s="5">
        <v>0.1</v>
      </c>
      <c r="AE69" s="5">
        <v>0</v>
      </c>
      <c r="AF69" s="6">
        <v>311</v>
      </c>
      <c r="AG69" s="5">
        <v>0.21025633333333335</v>
      </c>
      <c r="AH69" s="5">
        <v>0.4</v>
      </c>
      <c r="AI69" s="5">
        <v>0.52559999999999996</v>
      </c>
      <c r="AJ69" s="6">
        <v>267</v>
      </c>
      <c r="AK69" s="7">
        <v>5</v>
      </c>
      <c r="AL69" s="7">
        <v>5</v>
      </c>
      <c r="AM69" s="5">
        <v>1</v>
      </c>
      <c r="AN69" s="5">
        <v>0.8</v>
      </c>
      <c r="AO69" s="5">
        <v>1.25</v>
      </c>
      <c r="AP69" s="6">
        <v>1</v>
      </c>
    </row>
    <row r="70" spans="1:42">
      <c r="A70" s="10" t="str">
        <f>_xlfn.XLOOKUP(Table1[[#This Row],[SAP]],'Location List'!B:B,'Location List'!G:G)</f>
        <v>MO/IA/NE</v>
      </c>
      <c r="B70" s="10" t="str">
        <f>LEFT(Table1[[#This Row],[Sap: Loaction]],4)</f>
        <v>4BSR</v>
      </c>
      <c r="C70" s="7" t="s">
        <v>506</v>
      </c>
      <c r="D70" s="7" t="s">
        <v>589</v>
      </c>
      <c r="E70" s="6">
        <v>4</v>
      </c>
      <c r="F70" s="6">
        <v>276</v>
      </c>
      <c r="G70" s="7">
        <v>219.95</v>
      </c>
      <c r="H70" s="7" t="s">
        <v>471</v>
      </c>
      <c r="I70" s="4">
        <v>17.8215</v>
      </c>
      <c r="J70" s="4">
        <v>34.999018067556953</v>
      </c>
      <c r="K70" s="5">
        <v>0.50919999999999999</v>
      </c>
      <c r="L70" s="6">
        <v>229</v>
      </c>
      <c r="M70" s="7">
        <v>25</v>
      </c>
      <c r="N70" s="7">
        <v>32.314999999999998</v>
      </c>
      <c r="O70" s="5">
        <v>0.77359999999999995</v>
      </c>
      <c r="P70" s="6">
        <v>189</v>
      </c>
      <c r="Q70" s="7">
        <v>42</v>
      </c>
      <c r="R70" s="7">
        <v>508</v>
      </c>
      <c r="S70" s="5">
        <v>8.2677165354330714E-2</v>
      </c>
      <c r="T70" s="5">
        <v>0.23999177171068425</v>
      </c>
      <c r="U70" s="5">
        <v>0.34449999999999997</v>
      </c>
      <c r="V70" s="6">
        <v>354</v>
      </c>
      <c r="W70" s="5">
        <v>1.1720128383893205</v>
      </c>
      <c r="X70" s="6">
        <v>186</v>
      </c>
      <c r="Y70" s="7">
        <v>8.6364000000000001</v>
      </c>
      <c r="Z70" s="6">
        <v>247</v>
      </c>
      <c r="AA70" s="7">
        <v>0</v>
      </c>
      <c r="AB70" s="7">
        <v>25</v>
      </c>
      <c r="AC70" s="5">
        <v>0</v>
      </c>
      <c r="AD70" s="5">
        <v>0.1</v>
      </c>
      <c r="AE70" s="5">
        <v>0</v>
      </c>
      <c r="AF70" s="6">
        <v>311</v>
      </c>
      <c r="AG70" s="5">
        <v>0.34444433333333335</v>
      </c>
      <c r="AH70" s="5">
        <v>0.4</v>
      </c>
      <c r="AI70" s="5">
        <v>0.86109999999999998</v>
      </c>
      <c r="AJ70" s="6">
        <v>141</v>
      </c>
      <c r="AK70" s="7">
        <v>13</v>
      </c>
      <c r="AL70" s="7">
        <v>13</v>
      </c>
      <c r="AM70" s="5">
        <v>1</v>
      </c>
      <c r="AN70" s="5">
        <v>0.8</v>
      </c>
      <c r="AO70" s="5">
        <v>1.25</v>
      </c>
      <c r="AP70" s="6">
        <v>1</v>
      </c>
    </row>
    <row r="71" spans="1:42">
      <c r="A71" s="10" t="str">
        <f>_xlfn.XLOOKUP(Table1[[#This Row],[SAP]],'Location List'!B:B,'Location List'!G:G)</f>
        <v>DFW NORTH</v>
      </c>
      <c r="B71" s="10" t="str">
        <f>LEFT(Table1[[#This Row],[Sap: Loaction]],4)</f>
        <v>924C</v>
      </c>
      <c r="C71" s="7" t="s">
        <v>506</v>
      </c>
      <c r="D71" s="7" t="s">
        <v>590</v>
      </c>
      <c r="E71" s="6">
        <v>4</v>
      </c>
      <c r="F71" s="6">
        <v>279</v>
      </c>
      <c r="G71" s="7">
        <v>222.95</v>
      </c>
      <c r="H71" s="7" t="s">
        <v>471</v>
      </c>
      <c r="I71" s="4">
        <v>23.241900000000001</v>
      </c>
      <c r="J71" s="4">
        <v>40.003270223752153</v>
      </c>
      <c r="K71" s="5">
        <v>0.58099999999999996</v>
      </c>
      <c r="L71" s="6">
        <v>203</v>
      </c>
      <c r="M71" s="7">
        <v>30</v>
      </c>
      <c r="N71" s="7">
        <v>46.334000000000003</v>
      </c>
      <c r="O71" s="5">
        <v>0.64749999999999996</v>
      </c>
      <c r="P71" s="6">
        <v>239</v>
      </c>
      <c r="Q71" s="7">
        <v>49</v>
      </c>
      <c r="R71" s="7">
        <v>318</v>
      </c>
      <c r="S71" s="5">
        <v>0.1540880503144654</v>
      </c>
      <c r="T71" s="5">
        <v>0.24001253943063147</v>
      </c>
      <c r="U71" s="5">
        <v>0.64200000000000002</v>
      </c>
      <c r="V71" s="6">
        <v>242</v>
      </c>
      <c r="W71" s="5">
        <v>1.4247766022646211</v>
      </c>
      <c r="X71" s="6">
        <v>114</v>
      </c>
      <c r="Y71" s="7">
        <v>9.9091000000000005</v>
      </c>
      <c r="Z71" s="6">
        <v>83</v>
      </c>
      <c r="AA71" s="7">
        <v>0</v>
      </c>
      <c r="AB71" s="7">
        <v>52</v>
      </c>
      <c r="AC71" s="5">
        <v>0</v>
      </c>
      <c r="AD71" s="5">
        <v>0.1</v>
      </c>
      <c r="AE71" s="5">
        <v>0</v>
      </c>
      <c r="AF71" s="6">
        <v>311</v>
      </c>
      <c r="AG71" s="5">
        <v>8.6834666666666671E-2</v>
      </c>
      <c r="AH71" s="5">
        <v>0.4</v>
      </c>
      <c r="AI71" s="5">
        <v>0.21709999999999999</v>
      </c>
      <c r="AJ71" s="6">
        <v>347</v>
      </c>
      <c r="AK71" s="7">
        <v>9</v>
      </c>
      <c r="AL71" s="7">
        <v>12</v>
      </c>
      <c r="AM71" s="5">
        <v>0.75</v>
      </c>
      <c r="AN71" s="5">
        <v>0.8</v>
      </c>
      <c r="AO71" s="5">
        <v>0.9375</v>
      </c>
      <c r="AP71" s="6">
        <v>193</v>
      </c>
    </row>
    <row r="72" spans="1:42">
      <c r="A72" s="10" t="str">
        <f>_xlfn.XLOOKUP(Table1[[#This Row],[SAP]],'Location List'!B:B,'Location List'!G:G)</f>
        <v>SOUTH TX/RGV</v>
      </c>
      <c r="B72" s="10" t="str">
        <f>LEFT(Table1[[#This Row],[Sap: Loaction]],4)</f>
        <v>216E</v>
      </c>
      <c r="C72" s="7" t="s">
        <v>506</v>
      </c>
      <c r="D72" s="7" t="s">
        <v>591</v>
      </c>
      <c r="E72" s="6">
        <v>4</v>
      </c>
      <c r="F72" s="6">
        <v>283</v>
      </c>
      <c r="G72" s="7">
        <v>225.85</v>
      </c>
      <c r="H72" s="7" t="s">
        <v>471</v>
      </c>
      <c r="I72" s="4">
        <v>8.1896000000000004</v>
      </c>
      <c r="J72" s="4">
        <v>40.007816316560827</v>
      </c>
      <c r="K72" s="5">
        <v>0.20469999999999999</v>
      </c>
      <c r="L72" s="6">
        <v>300</v>
      </c>
      <c r="M72" s="7">
        <v>26</v>
      </c>
      <c r="N72" s="7">
        <v>59.747999999999998</v>
      </c>
      <c r="O72" s="5">
        <v>0.43519999999999998</v>
      </c>
      <c r="P72" s="6">
        <v>319</v>
      </c>
      <c r="Q72" s="7">
        <v>64</v>
      </c>
      <c r="R72" s="7">
        <v>469</v>
      </c>
      <c r="S72" s="5">
        <v>0.13646055437100213</v>
      </c>
      <c r="T72" s="5">
        <v>0.23999394015301112</v>
      </c>
      <c r="U72" s="5">
        <v>0.56859999999999999</v>
      </c>
      <c r="V72" s="6">
        <v>285</v>
      </c>
      <c r="W72" s="5">
        <v>0.76706176611091437</v>
      </c>
      <c r="X72" s="6">
        <v>300</v>
      </c>
      <c r="Y72" s="7">
        <v>10</v>
      </c>
      <c r="Z72" s="6">
        <v>1</v>
      </c>
      <c r="AA72" s="7">
        <v>4</v>
      </c>
      <c r="AB72" s="7">
        <v>68</v>
      </c>
      <c r="AC72" s="5">
        <v>5.8823529411764705E-2</v>
      </c>
      <c r="AD72" s="5">
        <v>0.1</v>
      </c>
      <c r="AE72" s="5">
        <v>0.58819999999999995</v>
      </c>
      <c r="AF72" s="6">
        <v>207</v>
      </c>
      <c r="AG72" s="5">
        <v>0.32280700000000001</v>
      </c>
      <c r="AH72" s="5">
        <v>0.4</v>
      </c>
      <c r="AI72" s="5">
        <v>0.80700000000000005</v>
      </c>
      <c r="AJ72" s="6">
        <v>157</v>
      </c>
      <c r="AK72" s="7">
        <v>6</v>
      </c>
      <c r="AL72" s="7">
        <v>7</v>
      </c>
      <c r="AM72" s="5">
        <v>0.8571428571428571</v>
      </c>
      <c r="AN72" s="5">
        <v>0.8</v>
      </c>
      <c r="AO72" s="5">
        <v>1.0713999999999999</v>
      </c>
      <c r="AP72" s="6">
        <v>134</v>
      </c>
    </row>
    <row r="73" spans="1:42">
      <c r="A73" s="10" t="str">
        <f>_xlfn.XLOOKUP(Table1[[#This Row],[SAP]],'Location List'!B:B,'Location List'!G:G)</f>
        <v>MO/IA/NE</v>
      </c>
      <c r="B73" s="10" t="str">
        <f>LEFT(Table1[[#This Row],[Sap: Loaction]],4)</f>
        <v>3ISS</v>
      </c>
      <c r="C73" s="7" t="s">
        <v>506</v>
      </c>
      <c r="D73" s="7" t="s">
        <v>592</v>
      </c>
      <c r="E73" s="6">
        <v>4</v>
      </c>
      <c r="F73" s="6">
        <v>285</v>
      </c>
      <c r="G73" s="7">
        <v>226.45</v>
      </c>
      <c r="H73" s="7" t="s">
        <v>471</v>
      </c>
      <c r="I73" s="4">
        <v>12.861700000000001</v>
      </c>
      <c r="J73" s="4">
        <v>30.001632843480291</v>
      </c>
      <c r="K73" s="5">
        <v>0.42870000000000003</v>
      </c>
      <c r="L73" s="6">
        <v>248</v>
      </c>
      <c r="M73" s="7">
        <v>38</v>
      </c>
      <c r="N73" s="7">
        <v>32.616999999999997</v>
      </c>
      <c r="O73" s="5">
        <v>1.165</v>
      </c>
      <c r="P73" s="6">
        <v>55</v>
      </c>
      <c r="Q73" s="7">
        <v>79</v>
      </c>
      <c r="R73" s="7">
        <v>741</v>
      </c>
      <c r="S73" s="5">
        <v>0.10661268556005399</v>
      </c>
      <c r="T73" s="5">
        <v>0.24001054831169291</v>
      </c>
      <c r="U73" s="5">
        <v>0.44419999999999998</v>
      </c>
      <c r="V73" s="6">
        <v>335</v>
      </c>
      <c r="W73" s="5">
        <v>1.2843632894444688</v>
      </c>
      <c r="X73" s="6">
        <v>150</v>
      </c>
      <c r="Y73" s="7">
        <v>7.1666999999999996</v>
      </c>
      <c r="Z73" s="6">
        <v>335</v>
      </c>
      <c r="AA73" s="7">
        <v>3</v>
      </c>
      <c r="AB73" s="7">
        <v>32</v>
      </c>
      <c r="AC73" s="5">
        <v>9.375E-2</v>
      </c>
      <c r="AD73" s="5">
        <v>0.1</v>
      </c>
      <c r="AE73" s="5">
        <v>0.9375</v>
      </c>
      <c r="AF73" s="6">
        <v>135</v>
      </c>
      <c r="AG73" s="5">
        <v>0.10173133333333334</v>
      </c>
      <c r="AH73" s="5">
        <v>0.4</v>
      </c>
      <c r="AI73" s="5">
        <v>0.25430000000000003</v>
      </c>
      <c r="AJ73" s="6">
        <v>342</v>
      </c>
      <c r="AK73" s="7">
        <v>3</v>
      </c>
      <c r="AL73" s="7">
        <v>6</v>
      </c>
      <c r="AM73" s="5">
        <v>0.5</v>
      </c>
      <c r="AN73" s="5">
        <v>0.8</v>
      </c>
      <c r="AO73" s="5">
        <v>0.625</v>
      </c>
      <c r="AP73" s="6">
        <v>278</v>
      </c>
    </row>
    <row r="74" spans="1:42">
      <c r="A74" s="10" t="str">
        <f>_xlfn.XLOOKUP(Table1[[#This Row],[SAP]],'Location List'!B:B,'Location List'!G:G)</f>
        <v>SA/HILL COUNTRY</v>
      </c>
      <c r="B74" s="10" t="str">
        <f>LEFT(Table1[[#This Row],[Sap: Loaction]],4)</f>
        <v>767D</v>
      </c>
      <c r="C74" s="7" t="s">
        <v>506</v>
      </c>
      <c r="D74" s="7" t="s">
        <v>593</v>
      </c>
      <c r="E74" s="6">
        <v>4</v>
      </c>
      <c r="F74" s="6">
        <v>286</v>
      </c>
      <c r="G74" s="7">
        <v>226.65</v>
      </c>
      <c r="H74" s="7" t="s">
        <v>471</v>
      </c>
      <c r="I74" s="4">
        <v>6.2609000000000004</v>
      </c>
      <c r="J74" s="4">
        <v>34.996646171045278</v>
      </c>
      <c r="K74" s="5">
        <v>0.1789</v>
      </c>
      <c r="L74" s="6">
        <v>308</v>
      </c>
      <c r="M74" s="7">
        <v>20</v>
      </c>
      <c r="N74" s="7">
        <v>40.542999999999999</v>
      </c>
      <c r="O74" s="5">
        <v>0.49330000000000002</v>
      </c>
      <c r="P74" s="6">
        <v>304</v>
      </c>
      <c r="Q74" s="7">
        <v>38</v>
      </c>
      <c r="R74" s="7">
        <v>240</v>
      </c>
      <c r="S74" s="5">
        <v>0.15833333333333333</v>
      </c>
      <c r="T74" s="5">
        <v>0.24000808448284575</v>
      </c>
      <c r="U74" s="5">
        <v>0.65969999999999995</v>
      </c>
      <c r="V74" s="6">
        <v>232</v>
      </c>
      <c r="W74" s="5">
        <v>1.633239208444617</v>
      </c>
      <c r="X74" s="6">
        <v>70</v>
      </c>
      <c r="Y74" s="7">
        <v>9.4285999999999994</v>
      </c>
      <c r="Z74" s="6">
        <v>148</v>
      </c>
      <c r="AA74" s="7">
        <v>4</v>
      </c>
      <c r="AB74" s="7">
        <v>49</v>
      </c>
      <c r="AC74" s="5">
        <v>8.1632653061224483E-2</v>
      </c>
      <c r="AD74" s="5">
        <v>0.1</v>
      </c>
      <c r="AE74" s="5">
        <v>0.81630000000000003</v>
      </c>
      <c r="AF74" s="6">
        <v>157</v>
      </c>
      <c r="AG74" s="5">
        <v>0.2748916666666667</v>
      </c>
      <c r="AH74" s="5">
        <v>0.4</v>
      </c>
      <c r="AI74" s="5">
        <v>0.68720000000000003</v>
      </c>
      <c r="AJ74" s="6">
        <v>208</v>
      </c>
      <c r="AK74" s="7">
        <v>0</v>
      </c>
      <c r="AL74" s="7">
        <v>2</v>
      </c>
      <c r="AM74" s="5">
        <v>0</v>
      </c>
      <c r="AN74" s="5">
        <v>0.8</v>
      </c>
      <c r="AO74" s="5">
        <v>0</v>
      </c>
      <c r="AP74" s="6">
        <v>339</v>
      </c>
    </row>
    <row r="75" spans="1:42">
      <c r="A75" s="10" t="str">
        <f>_xlfn.XLOOKUP(Table1[[#This Row],[SAP]],'Location List'!B:B,'Location List'!G:G)</f>
        <v>SOUTH TX/RGV</v>
      </c>
      <c r="B75" s="10" t="str">
        <f>LEFT(Table1[[#This Row],[Sap: Loaction]],4)</f>
        <v>5332</v>
      </c>
      <c r="C75" s="7" t="s">
        <v>506</v>
      </c>
      <c r="D75" s="7" t="s">
        <v>594</v>
      </c>
      <c r="E75" s="6">
        <v>5</v>
      </c>
      <c r="F75" s="6">
        <v>291</v>
      </c>
      <c r="G75" s="7">
        <v>230.5</v>
      </c>
      <c r="H75" s="7" t="s">
        <v>471</v>
      </c>
      <c r="I75" s="4">
        <v>17.846599999999999</v>
      </c>
      <c r="J75" s="4">
        <v>35.000196116885661</v>
      </c>
      <c r="K75" s="5">
        <v>0.50990000000000002</v>
      </c>
      <c r="L75" s="6">
        <v>228</v>
      </c>
      <c r="M75" s="7">
        <v>26</v>
      </c>
      <c r="N75" s="7">
        <v>50.301000000000002</v>
      </c>
      <c r="O75" s="5">
        <v>0.51690000000000003</v>
      </c>
      <c r="P75" s="6">
        <v>296</v>
      </c>
      <c r="Q75" s="7">
        <v>50</v>
      </c>
      <c r="R75" s="7">
        <v>328</v>
      </c>
      <c r="S75" s="5">
        <v>0.1524390243902439</v>
      </c>
      <c r="T75" s="5">
        <v>0.23998586963199606</v>
      </c>
      <c r="U75" s="5">
        <v>0.63519999999999999</v>
      </c>
      <c r="V75" s="6">
        <v>250</v>
      </c>
      <c r="W75" s="5">
        <v>1.0357051230561303</v>
      </c>
      <c r="X75" s="6">
        <v>224</v>
      </c>
      <c r="Y75" s="7">
        <v>7.8571</v>
      </c>
      <c r="Z75" s="6">
        <v>307</v>
      </c>
      <c r="AA75" s="7">
        <v>3</v>
      </c>
      <c r="AB75" s="7">
        <v>58</v>
      </c>
      <c r="AC75" s="5">
        <v>5.1724137931034482E-2</v>
      </c>
      <c r="AD75" s="5">
        <v>0.1</v>
      </c>
      <c r="AE75" s="5">
        <v>0.51719999999999999</v>
      </c>
      <c r="AF75" s="6">
        <v>220</v>
      </c>
      <c r="AG75" s="5">
        <v>0.43650766666666668</v>
      </c>
      <c r="AH75" s="5">
        <v>0.4</v>
      </c>
      <c r="AI75" s="5">
        <v>1.0912999999999999</v>
      </c>
      <c r="AJ75" s="6">
        <v>72</v>
      </c>
      <c r="AK75" s="7">
        <v>5</v>
      </c>
      <c r="AL75" s="7">
        <v>7</v>
      </c>
      <c r="AM75" s="5">
        <v>0.7142857142857143</v>
      </c>
      <c r="AN75" s="5">
        <v>0.8</v>
      </c>
      <c r="AO75" s="5">
        <v>0.89290000000000003</v>
      </c>
      <c r="AP75" s="6">
        <v>211</v>
      </c>
    </row>
    <row r="76" spans="1:42">
      <c r="A76" s="10" t="str">
        <f>_xlfn.XLOOKUP(Table1[[#This Row],[SAP]],'Location List'!B:B,'Location List'!G:G)</f>
        <v>SOUTH TX/RGV</v>
      </c>
      <c r="B76" s="10" t="str">
        <f>LEFT(Table1[[#This Row],[Sap: Loaction]],4)</f>
        <v>1953</v>
      </c>
      <c r="C76" s="7" t="s">
        <v>506</v>
      </c>
      <c r="D76" s="7" t="s">
        <v>595</v>
      </c>
      <c r="E76" s="6">
        <v>5</v>
      </c>
      <c r="F76" s="6">
        <v>293</v>
      </c>
      <c r="G76" s="7">
        <v>231.25</v>
      </c>
      <c r="H76" s="7" t="s">
        <v>471</v>
      </c>
      <c r="I76" s="4">
        <v>13.395</v>
      </c>
      <c r="J76" s="4">
        <v>35.001306506401882</v>
      </c>
      <c r="K76" s="5">
        <v>0.38269999999999998</v>
      </c>
      <c r="L76" s="6">
        <v>261</v>
      </c>
      <c r="M76" s="7">
        <v>26</v>
      </c>
      <c r="N76" s="7">
        <v>32.923000000000002</v>
      </c>
      <c r="O76" s="5">
        <v>0.78969999999999996</v>
      </c>
      <c r="P76" s="6">
        <v>179</v>
      </c>
      <c r="Q76" s="7">
        <v>41</v>
      </c>
      <c r="R76" s="7">
        <v>316</v>
      </c>
      <c r="S76" s="5">
        <v>0.12974683544303797</v>
      </c>
      <c r="T76" s="5">
        <v>0.24000524499267106</v>
      </c>
      <c r="U76" s="5">
        <v>0.54059999999999997</v>
      </c>
      <c r="V76" s="6">
        <v>297</v>
      </c>
      <c r="W76" s="5">
        <v>1.1376863972876323</v>
      </c>
      <c r="X76" s="6">
        <v>193</v>
      </c>
      <c r="Y76" s="7">
        <v>8.6999999999999993</v>
      </c>
      <c r="Z76" s="6">
        <v>241</v>
      </c>
      <c r="AA76" s="7">
        <v>3</v>
      </c>
      <c r="AB76" s="7">
        <v>49</v>
      </c>
      <c r="AC76" s="5">
        <v>6.1224489795918366E-2</v>
      </c>
      <c r="AD76" s="5">
        <v>0.1</v>
      </c>
      <c r="AE76" s="5">
        <v>0.61219999999999997</v>
      </c>
      <c r="AF76" s="6">
        <v>200</v>
      </c>
      <c r="AG76" s="5">
        <v>0.32478599999999996</v>
      </c>
      <c r="AH76" s="5">
        <v>0.4</v>
      </c>
      <c r="AI76" s="5">
        <v>0.81200000000000006</v>
      </c>
      <c r="AJ76" s="6">
        <v>153</v>
      </c>
      <c r="AK76" s="7">
        <v>1</v>
      </c>
      <c r="AL76" s="7">
        <v>3</v>
      </c>
      <c r="AM76" s="5">
        <v>0.33333333333333331</v>
      </c>
      <c r="AN76" s="5">
        <v>0.8</v>
      </c>
      <c r="AO76" s="5">
        <v>0.41670000000000001</v>
      </c>
      <c r="AP76" s="6">
        <v>320</v>
      </c>
    </row>
    <row r="77" spans="1:42">
      <c r="A77" s="10" t="str">
        <f>_xlfn.XLOOKUP(Table1[[#This Row],[SAP]],'Location List'!B:B,'Location List'!G:G)</f>
        <v>CENTRAL TEXAS</v>
      </c>
      <c r="B77" s="10" t="str">
        <f>LEFT(Table1[[#This Row],[Sap: Loaction]],4)</f>
        <v>1DSG</v>
      </c>
      <c r="C77" s="7" t="s">
        <v>506</v>
      </c>
      <c r="D77" s="7" t="s">
        <v>596</v>
      </c>
      <c r="E77" s="6">
        <v>5</v>
      </c>
      <c r="F77" s="6">
        <v>298</v>
      </c>
      <c r="G77" s="7">
        <v>233.3</v>
      </c>
      <c r="H77" s="7" t="s">
        <v>471</v>
      </c>
      <c r="I77" s="4">
        <v>21.4056</v>
      </c>
      <c r="J77" s="4">
        <v>30.000840925017517</v>
      </c>
      <c r="K77" s="5">
        <v>0.71350000000000002</v>
      </c>
      <c r="L77" s="6">
        <v>163</v>
      </c>
      <c r="M77" s="7">
        <v>18</v>
      </c>
      <c r="N77" s="7">
        <v>31.398</v>
      </c>
      <c r="O77" s="5">
        <v>0.57330000000000003</v>
      </c>
      <c r="P77" s="6">
        <v>270</v>
      </c>
      <c r="Q77" s="7">
        <v>35</v>
      </c>
      <c r="R77" s="7">
        <v>316</v>
      </c>
      <c r="S77" s="5">
        <v>0.11075949367088607</v>
      </c>
      <c r="T77" s="5">
        <v>0.23999890286215833</v>
      </c>
      <c r="U77" s="5">
        <v>0.46150000000000002</v>
      </c>
      <c r="V77" s="6">
        <v>329</v>
      </c>
      <c r="W77" s="5">
        <v>0.70331149524190872</v>
      </c>
      <c r="X77" s="6">
        <v>317</v>
      </c>
      <c r="Y77" s="7">
        <v>8</v>
      </c>
      <c r="Z77" s="6">
        <v>291</v>
      </c>
      <c r="AA77" s="7">
        <v>1</v>
      </c>
      <c r="AB77" s="7">
        <v>38</v>
      </c>
      <c r="AC77" s="5">
        <v>2.6315789473684209E-2</v>
      </c>
      <c r="AD77" s="5">
        <v>0.1</v>
      </c>
      <c r="AE77" s="5">
        <v>0.26319999999999999</v>
      </c>
      <c r="AF77" s="6">
        <v>274</v>
      </c>
      <c r="AG77" s="5">
        <v>0.44047600000000003</v>
      </c>
      <c r="AH77" s="5">
        <v>0.4</v>
      </c>
      <c r="AI77" s="5">
        <v>1.1012</v>
      </c>
      <c r="AJ77" s="6">
        <v>68</v>
      </c>
      <c r="AK77" s="7">
        <v>10</v>
      </c>
      <c r="AL77" s="7">
        <v>11</v>
      </c>
      <c r="AM77" s="5">
        <v>0.90909090909090906</v>
      </c>
      <c r="AN77" s="5">
        <v>0.8</v>
      </c>
      <c r="AO77" s="5">
        <v>1.1364000000000001</v>
      </c>
      <c r="AP77" s="6">
        <v>103</v>
      </c>
    </row>
    <row r="78" spans="1:42">
      <c r="A78" s="10" t="str">
        <f>_xlfn.XLOOKUP(Table1[[#This Row],[SAP]],'Location List'!B:B,'Location List'!G:G)</f>
        <v>SOUTH TX/RGV</v>
      </c>
      <c r="B78" s="10" t="str">
        <f>LEFT(Table1[[#This Row],[Sap: Loaction]],4)</f>
        <v>536E</v>
      </c>
      <c r="C78" s="7" t="s">
        <v>506</v>
      </c>
      <c r="D78" s="7" t="s">
        <v>597</v>
      </c>
      <c r="E78" s="6">
        <v>5</v>
      </c>
      <c r="F78" s="6">
        <v>300</v>
      </c>
      <c r="G78" s="7">
        <v>233.9</v>
      </c>
      <c r="H78" s="7" t="s">
        <v>471</v>
      </c>
      <c r="I78" s="4">
        <v>5.8346</v>
      </c>
      <c r="J78" s="4">
        <v>29.997943444730076</v>
      </c>
      <c r="K78" s="5">
        <v>0.19450000000000001</v>
      </c>
      <c r="L78" s="6">
        <v>301</v>
      </c>
      <c r="M78" s="7">
        <v>21</v>
      </c>
      <c r="N78" s="7">
        <v>29.875</v>
      </c>
      <c r="O78" s="5">
        <v>0.70289999999999997</v>
      </c>
      <c r="P78" s="6">
        <v>220</v>
      </c>
      <c r="Q78" s="7">
        <v>32</v>
      </c>
      <c r="R78" s="7">
        <v>204</v>
      </c>
      <c r="S78" s="5">
        <v>0.15686274509803921</v>
      </c>
      <c r="T78" s="5">
        <v>0.23999808001535988</v>
      </c>
      <c r="U78" s="5">
        <v>0.65359999999999996</v>
      </c>
      <c r="V78" s="6">
        <v>237</v>
      </c>
      <c r="W78" s="5">
        <v>0.8978257058316309</v>
      </c>
      <c r="X78" s="6">
        <v>271</v>
      </c>
      <c r="Y78" s="7">
        <v>10</v>
      </c>
      <c r="Z78" s="6">
        <v>1</v>
      </c>
      <c r="AA78" s="7">
        <v>1</v>
      </c>
      <c r="AB78" s="7">
        <v>31</v>
      </c>
      <c r="AC78" s="5">
        <v>3.2258064516129031E-2</v>
      </c>
      <c r="AD78" s="5">
        <v>0.1</v>
      </c>
      <c r="AE78" s="5">
        <v>0.3226</v>
      </c>
      <c r="AF78" s="6">
        <v>260</v>
      </c>
      <c r="AG78" s="5">
        <v>0.27777766666666664</v>
      </c>
      <c r="AH78" s="5">
        <v>0.4</v>
      </c>
      <c r="AI78" s="5">
        <v>0.69440000000000002</v>
      </c>
      <c r="AJ78" s="6">
        <v>201</v>
      </c>
      <c r="AK78" s="7">
        <v>0</v>
      </c>
      <c r="AL78" s="7">
        <v>3</v>
      </c>
      <c r="AM78" s="5">
        <v>0</v>
      </c>
      <c r="AN78" s="5">
        <v>0.8</v>
      </c>
      <c r="AO78" s="5">
        <v>0</v>
      </c>
      <c r="AP78" s="6">
        <v>339</v>
      </c>
    </row>
    <row r="79" spans="1:42">
      <c r="A79" s="10" t="str">
        <f>_xlfn.XLOOKUP(Table1[[#This Row],[SAP]],'Location List'!B:B,'Location List'!G:G)</f>
        <v>CENTRAL TEXAS</v>
      </c>
      <c r="B79" s="10" t="str">
        <f>LEFT(Table1[[#This Row],[Sap: Loaction]],4)</f>
        <v>1DSD</v>
      </c>
      <c r="C79" s="7" t="s">
        <v>506</v>
      </c>
      <c r="D79" s="7" t="s">
        <v>598</v>
      </c>
      <c r="E79" s="6">
        <v>5</v>
      </c>
      <c r="F79" s="6">
        <v>305</v>
      </c>
      <c r="G79" s="7">
        <v>237.3</v>
      </c>
      <c r="H79" s="7" t="s">
        <v>471</v>
      </c>
      <c r="I79" s="4">
        <v>7.3368000000000002</v>
      </c>
      <c r="J79" s="4">
        <v>35.003816793893129</v>
      </c>
      <c r="K79" s="5">
        <v>0.20960000000000001</v>
      </c>
      <c r="L79" s="6">
        <v>299</v>
      </c>
      <c r="M79" s="7">
        <v>19</v>
      </c>
      <c r="N79" s="7">
        <v>37.19</v>
      </c>
      <c r="O79" s="5">
        <v>0.51090000000000002</v>
      </c>
      <c r="P79" s="6">
        <v>299</v>
      </c>
      <c r="Q79" s="7">
        <v>56</v>
      </c>
      <c r="R79" s="7">
        <v>434</v>
      </c>
      <c r="S79" s="5">
        <v>0.12903225806451613</v>
      </c>
      <c r="T79" s="5">
        <v>0.24001536098310292</v>
      </c>
      <c r="U79" s="5">
        <v>0.53759999999999997</v>
      </c>
      <c r="V79" s="6">
        <v>299</v>
      </c>
      <c r="W79" s="5">
        <v>0.9614962951320456</v>
      </c>
      <c r="X79" s="6">
        <v>244</v>
      </c>
      <c r="Y79" s="7">
        <v>9.8125</v>
      </c>
      <c r="Z79" s="6">
        <v>103</v>
      </c>
      <c r="AA79" s="7">
        <v>1</v>
      </c>
      <c r="AB79" s="7">
        <v>74</v>
      </c>
      <c r="AC79" s="5">
        <v>1.3513513513513514E-2</v>
      </c>
      <c r="AD79" s="5">
        <v>0.1</v>
      </c>
      <c r="AE79" s="5">
        <v>0.1351</v>
      </c>
      <c r="AF79" s="6">
        <v>305</v>
      </c>
      <c r="AG79" s="5">
        <v>0.36111100000000002</v>
      </c>
      <c r="AH79" s="5">
        <v>0.4</v>
      </c>
      <c r="AI79" s="5">
        <v>0.90280000000000005</v>
      </c>
      <c r="AJ79" s="6">
        <v>126</v>
      </c>
      <c r="AK79" s="7">
        <v>12</v>
      </c>
      <c r="AL79" s="7">
        <v>13</v>
      </c>
      <c r="AM79" s="5">
        <v>0.92307692307692313</v>
      </c>
      <c r="AN79" s="5">
        <v>0.8</v>
      </c>
      <c r="AO79" s="5">
        <v>1.1537999999999999</v>
      </c>
      <c r="AP79" s="6">
        <v>97</v>
      </c>
    </row>
    <row r="80" spans="1:42">
      <c r="A80" s="10" t="str">
        <f>_xlfn.XLOOKUP(Table1[[#This Row],[SAP]],'Location List'!B:B,'Location List'!G:G)</f>
        <v>SA SOUTH</v>
      </c>
      <c r="B80" s="10" t="str">
        <f>LEFT(Table1[[#This Row],[Sap: Loaction]],4)</f>
        <v>1ESF</v>
      </c>
      <c r="C80" s="7" t="s">
        <v>506</v>
      </c>
      <c r="D80" s="7" t="s">
        <v>599</v>
      </c>
      <c r="E80" s="6">
        <v>5</v>
      </c>
      <c r="F80" s="6">
        <v>312</v>
      </c>
      <c r="G80" s="7">
        <v>241.9</v>
      </c>
      <c r="H80" s="7" t="s">
        <v>471</v>
      </c>
      <c r="I80" s="4">
        <v>-26.174900000000001</v>
      </c>
      <c r="J80" s="4">
        <v>39.99831907090465</v>
      </c>
      <c r="K80" s="5">
        <v>-0.65439999999999998</v>
      </c>
      <c r="L80" s="6">
        <v>355</v>
      </c>
      <c r="M80" s="7">
        <v>32</v>
      </c>
      <c r="N80" s="7">
        <v>80.781999999999996</v>
      </c>
      <c r="O80" s="5">
        <v>0.39610000000000001</v>
      </c>
      <c r="P80" s="6">
        <v>327</v>
      </c>
      <c r="Q80" s="7">
        <v>84</v>
      </c>
      <c r="R80" s="7">
        <v>554</v>
      </c>
      <c r="S80" s="5">
        <v>0.15162454873646208</v>
      </c>
      <c r="T80" s="5">
        <v>0.23998820629386211</v>
      </c>
      <c r="U80" s="5">
        <v>0.63180000000000003</v>
      </c>
      <c r="V80" s="6">
        <v>252</v>
      </c>
      <c r="W80" s="5">
        <v>0.74641291371048568</v>
      </c>
      <c r="X80" s="6">
        <v>307</v>
      </c>
      <c r="Y80" s="7">
        <v>9.8000000000000007</v>
      </c>
      <c r="Z80" s="6">
        <v>105</v>
      </c>
      <c r="AA80" s="7">
        <v>6</v>
      </c>
      <c r="AB80" s="7">
        <v>57</v>
      </c>
      <c r="AC80" s="5">
        <v>0.10526315789473684</v>
      </c>
      <c r="AD80" s="5">
        <v>0.1</v>
      </c>
      <c r="AE80" s="5">
        <v>1.0526</v>
      </c>
      <c r="AF80" s="6">
        <v>118</v>
      </c>
      <c r="AG80" s="5">
        <v>0.26388866666666666</v>
      </c>
      <c r="AH80" s="5">
        <v>0.4</v>
      </c>
      <c r="AI80" s="5">
        <v>0.65969999999999995</v>
      </c>
      <c r="AJ80" s="6">
        <v>219</v>
      </c>
      <c r="AK80" s="7">
        <v>13</v>
      </c>
      <c r="AL80" s="7">
        <v>18</v>
      </c>
      <c r="AM80" s="5">
        <v>0.72222222222222221</v>
      </c>
      <c r="AN80" s="5">
        <v>0.8</v>
      </c>
      <c r="AO80" s="5">
        <v>0.90280000000000005</v>
      </c>
      <c r="AP80" s="6">
        <v>210</v>
      </c>
    </row>
    <row r="81" spans="1:42">
      <c r="A81" s="10" t="str">
        <f>_xlfn.XLOOKUP(Table1[[#This Row],[SAP]],'Location List'!B:B,'Location List'!G:G)</f>
        <v>MO/IA/NE</v>
      </c>
      <c r="B81" s="10" t="str">
        <f>LEFT(Table1[[#This Row],[Sap: Loaction]],4)</f>
        <v>4BSP</v>
      </c>
      <c r="C81" s="7" t="s">
        <v>506</v>
      </c>
      <c r="D81" s="7" t="s">
        <v>600</v>
      </c>
      <c r="E81" s="6">
        <v>5</v>
      </c>
      <c r="F81" s="6">
        <v>314</v>
      </c>
      <c r="G81" s="7">
        <v>243.6</v>
      </c>
      <c r="H81" s="7" t="s">
        <v>471</v>
      </c>
      <c r="I81" s="4">
        <v>9.9865999999999993</v>
      </c>
      <c r="J81" s="4">
        <v>29.998798437969359</v>
      </c>
      <c r="K81" s="5">
        <v>0.33289999999999997</v>
      </c>
      <c r="L81" s="6">
        <v>272</v>
      </c>
      <c r="M81" s="7">
        <v>2</v>
      </c>
      <c r="N81" s="7">
        <v>32.008000000000003</v>
      </c>
      <c r="O81" s="5">
        <v>6.25E-2</v>
      </c>
      <c r="P81" s="6">
        <v>354</v>
      </c>
      <c r="Q81" s="7">
        <v>23</v>
      </c>
      <c r="R81" s="7">
        <v>315</v>
      </c>
      <c r="S81" s="5">
        <v>7.301587301587302E-2</v>
      </c>
      <c r="T81" s="5">
        <v>0.24002588105152206</v>
      </c>
      <c r="U81" s="5">
        <v>0.30420000000000003</v>
      </c>
      <c r="V81" s="6">
        <v>357</v>
      </c>
      <c r="W81" s="5">
        <v>0.59412717414266614</v>
      </c>
      <c r="X81" s="6">
        <v>332</v>
      </c>
      <c r="Y81" s="7">
        <v>9.1428999999999991</v>
      </c>
      <c r="Z81" s="6">
        <v>181</v>
      </c>
      <c r="AA81" s="7">
        <v>3</v>
      </c>
      <c r="AB81" s="7">
        <v>33</v>
      </c>
      <c r="AC81" s="5">
        <v>9.0909090909090912E-2</v>
      </c>
      <c r="AD81" s="5">
        <v>0.1</v>
      </c>
      <c r="AE81" s="5">
        <v>0.90910000000000002</v>
      </c>
      <c r="AF81" s="6">
        <v>141</v>
      </c>
      <c r="AG81" s="5">
        <v>0.24761900000000001</v>
      </c>
      <c r="AH81" s="5">
        <v>0.4</v>
      </c>
      <c r="AI81" s="5">
        <v>0.61899999999999999</v>
      </c>
      <c r="AJ81" s="6">
        <v>236</v>
      </c>
      <c r="AK81" s="7">
        <v>1</v>
      </c>
      <c r="AL81" s="7">
        <v>1</v>
      </c>
      <c r="AM81" s="5">
        <v>1</v>
      </c>
      <c r="AN81" s="5">
        <v>0.8</v>
      </c>
      <c r="AO81" s="5">
        <v>1.25</v>
      </c>
      <c r="AP81" s="6">
        <v>1</v>
      </c>
    </row>
    <row r="82" spans="1:42">
      <c r="A82" s="10" t="str">
        <f>_xlfn.XLOOKUP(Table1[[#This Row],[SAP]],'Location List'!B:B,'Location List'!G:G)</f>
        <v>SOUTH TX/RGV</v>
      </c>
      <c r="B82" s="10" t="str">
        <f>LEFT(Table1[[#This Row],[Sap: Loaction]],4)</f>
        <v>5DSX</v>
      </c>
      <c r="C82" s="7" t="s">
        <v>506</v>
      </c>
      <c r="D82" s="7" t="s">
        <v>601</v>
      </c>
      <c r="E82" s="6">
        <v>5</v>
      </c>
      <c r="F82" s="6">
        <v>318</v>
      </c>
      <c r="G82" s="7">
        <v>245.4</v>
      </c>
      <c r="H82" s="7" t="s">
        <v>471</v>
      </c>
      <c r="I82" s="4">
        <v>9.3211999999999993</v>
      </c>
      <c r="J82" s="4">
        <v>40.00515021459227</v>
      </c>
      <c r="K82" s="5">
        <v>0.23300000000000001</v>
      </c>
      <c r="L82" s="6">
        <v>295</v>
      </c>
      <c r="M82" s="7">
        <v>31</v>
      </c>
      <c r="N82" s="7">
        <v>62.185000000000002</v>
      </c>
      <c r="O82" s="5">
        <v>0.4985</v>
      </c>
      <c r="P82" s="6">
        <v>303</v>
      </c>
      <c r="Q82" s="7">
        <v>56</v>
      </c>
      <c r="R82" s="7">
        <v>469</v>
      </c>
      <c r="S82" s="5">
        <v>0.11940298507462686</v>
      </c>
      <c r="T82" s="5">
        <v>0.24000600015000376</v>
      </c>
      <c r="U82" s="5">
        <v>0.4975</v>
      </c>
      <c r="V82" s="6">
        <v>316</v>
      </c>
      <c r="W82" s="5">
        <v>0.90638828582165354</v>
      </c>
      <c r="X82" s="6">
        <v>266</v>
      </c>
      <c r="Y82" s="7">
        <v>9.6922999999999995</v>
      </c>
      <c r="Z82" s="6">
        <v>125</v>
      </c>
      <c r="AA82" s="7">
        <v>7</v>
      </c>
      <c r="AB82" s="7">
        <v>90</v>
      </c>
      <c r="AC82" s="5">
        <v>7.7777777777777779E-2</v>
      </c>
      <c r="AD82" s="5">
        <v>0.1</v>
      </c>
      <c r="AE82" s="5">
        <v>0.77780000000000005</v>
      </c>
      <c r="AF82" s="6">
        <v>162</v>
      </c>
      <c r="AG82" s="5">
        <v>0.31159399999999998</v>
      </c>
      <c r="AH82" s="5">
        <v>0.4</v>
      </c>
      <c r="AI82" s="5">
        <v>0.77900000000000003</v>
      </c>
      <c r="AJ82" s="6">
        <v>171</v>
      </c>
      <c r="AK82" s="7">
        <v>2</v>
      </c>
      <c r="AL82" s="7">
        <v>4</v>
      </c>
      <c r="AM82" s="5">
        <v>0.5</v>
      </c>
      <c r="AN82" s="5">
        <v>0.8</v>
      </c>
      <c r="AO82" s="5">
        <v>0.625</v>
      </c>
      <c r="AP82" s="6">
        <v>278</v>
      </c>
    </row>
    <row r="83" spans="1:42">
      <c r="A83" s="10" t="str">
        <f>_xlfn.XLOOKUP(Table1[[#This Row],[SAP]],'Location List'!B:B,'Location List'!G:G)</f>
        <v>KS/OK</v>
      </c>
      <c r="B83" s="10" t="str">
        <f>LEFT(Table1[[#This Row],[Sap: Loaction]],4)</f>
        <v>114E</v>
      </c>
      <c r="C83" s="7" t="s">
        <v>506</v>
      </c>
      <c r="D83" s="7" t="s">
        <v>602</v>
      </c>
      <c r="E83" s="6">
        <v>5</v>
      </c>
      <c r="F83" s="6">
        <v>321</v>
      </c>
      <c r="G83" s="7">
        <v>247.9</v>
      </c>
      <c r="H83" s="7" t="s">
        <v>471</v>
      </c>
      <c r="I83" s="4">
        <v>2.2610000000000001</v>
      </c>
      <c r="J83" s="4">
        <v>35</v>
      </c>
      <c r="K83" s="5">
        <v>6.4600000000000005E-2</v>
      </c>
      <c r="L83" s="6">
        <v>324</v>
      </c>
      <c r="M83" s="7">
        <v>47</v>
      </c>
      <c r="N83" s="7">
        <v>35.360999999999997</v>
      </c>
      <c r="O83" s="5">
        <v>1.3290999999999999</v>
      </c>
      <c r="P83" s="6">
        <v>27</v>
      </c>
      <c r="Q83" s="7">
        <v>62</v>
      </c>
      <c r="R83" s="7">
        <v>377</v>
      </c>
      <c r="S83" s="5">
        <v>0.16445623342175067</v>
      </c>
      <c r="T83" s="5">
        <v>0.24001201608545047</v>
      </c>
      <c r="U83" s="5">
        <v>0.68520000000000003</v>
      </c>
      <c r="V83" s="6">
        <v>208</v>
      </c>
      <c r="W83" s="5">
        <v>0.51632159285359625</v>
      </c>
      <c r="X83" s="6">
        <v>343</v>
      </c>
      <c r="Y83" s="7">
        <v>7.2</v>
      </c>
      <c r="Z83" s="6">
        <v>333</v>
      </c>
      <c r="AA83" s="7">
        <v>0</v>
      </c>
      <c r="AB83" s="7">
        <v>48</v>
      </c>
      <c r="AC83" s="5">
        <v>0</v>
      </c>
      <c r="AD83" s="5">
        <v>0.1</v>
      </c>
      <c r="AE83" s="5">
        <v>0</v>
      </c>
      <c r="AF83" s="6">
        <v>311</v>
      </c>
      <c r="AG83" s="5">
        <v>0.206349</v>
      </c>
      <c r="AH83" s="5">
        <v>0.4</v>
      </c>
      <c r="AI83" s="5">
        <v>0.51590000000000003</v>
      </c>
      <c r="AJ83" s="6">
        <v>271</v>
      </c>
      <c r="AK83" s="7">
        <v>2</v>
      </c>
      <c r="AL83" s="7">
        <v>3</v>
      </c>
      <c r="AM83" s="5">
        <v>0.66666666666666663</v>
      </c>
      <c r="AN83" s="5">
        <v>0.8</v>
      </c>
      <c r="AO83" s="5">
        <v>0.83330000000000004</v>
      </c>
      <c r="AP83" s="6">
        <v>227</v>
      </c>
    </row>
    <row r="84" spans="1:42">
      <c r="A84" s="10" t="str">
        <f>_xlfn.XLOOKUP(Table1[[#This Row],[SAP]],'Location List'!B:B,'Location List'!G:G)</f>
        <v>KS/OK</v>
      </c>
      <c r="B84" s="10" t="str">
        <f>LEFT(Table1[[#This Row],[Sap: Loaction]],4)</f>
        <v>857C</v>
      </c>
      <c r="C84" s="7" t="s">
        <v>506</v>
      </c>
      <c r="D84" s="7" t="s">
        <v>603</v>
      </c>
      <c r="E84" s="6">
        <v>5</v>
      </c>
      <c r="F84" s="6">
        <v>328</v>
      </c>
      <c r="G84" s="7">
        <v>257.3</v>
      </c>
      <c r="H84" s="7" t="s">
        <v>471</v>
      </c>
      <c r="I84" s="4">
        <v>15.305899999999999</v>
      </c>
      <c r="J84" s="4">
        <v>40.004966021955042</v>
      </c>
      <c r="K84" s="5">
        <v>0.3826</v>
      </c>
      <c r="L84" s="6">
        <v>262</v>
      </c>
      <c r="M84" s="7">
        <v>18</v>
      </c>
      <c r="N84" s="7">
        <v>49.384</v>
      </c>
      <c r="O84" s="5">
        <v>0.36449999999999999</v>
      </c>
      <c r="P84" s="6">
        <v>330</v>
      </c>
      <c r="Q84" s="7">
        <v>64</v>
      </c>
      <c r="R84" s="7">
        <v>562</v>
      </c>
      <c r="S84" s="5">
        <v>0.11387900355871886</v>
      </c>
      <c r="T84" s="5">
        <v>0.23999790001837484</v>
      </c>
      <c r="U84" s="5">
        <v>0.47449999999999998</v>
      </c>
      <c r="V84" s="6">
        <v>326</v>
      </c>
      <c r="W84" s="5">
        <v>0.95180954570631349</v>
      </c>
      <c r="X84" s="6">
        <v>251</v>
      </c>
      <c r="Y84" s="7">
        <v>8.3332999999999995</v>
      </c>
      <c r="Z84" s="6">
        <v>268</v>
      </c>
      <c r="AA84" s="7">
        <v>3</v>
      </c>
      <c r="AB84" s="7">
        <v>40</v>
      </c>
      <c r="AC84" s="5">
        <v>7.4999999999999997E-2</v>
      </c>
      <c r="AD84" s="5">
        <v>0.1</v>
      </c>
      <c r="AE84" s="5">
        <v>0.75</v>
      </c>
      <c r="AF84" s="6">
        <v>166</v>
      </c>
      <c r="AG84" s="5">
        <v>0.39924233333333331</v>
      </c>
      <c r="AH84" s="5">
        <v>0.4</v>
      </c>
      <c r="AI84" s="5">
        <v>0.99809999999999999</v>
      </c>
      <c r="AJ84" s="6">
        <v>89</v>
      </c>
      <c r="AK84" s="7">
        <v>0</v>
      </c>
      <c r="AL84" s="7">
        <v>14</v>
      </c>
      <c r="AM84" s="5">
        <v>0</v>
      </c>
      <c r="AN84" s="5">
        <v>0.8</v>
      </c>
      <c r="AO84" s="5">
        <v>0</v>
      </c>
      <c r="AP84" s="6">
        <v>339</v>
      </c>
    </row>
    <row r="85" spans="1:42">
      <c r="A85" s="10" t="str">
        <f>_xlfn.XLOOKUP(Table1[[#This Row],[SAP]],'Location List'!B:B,'Location List'!G:G)</f>
        <v>SA/HILL COUNTRY</v>
      </c>
      <c r="B85" s="10" t="str">
        <f>LEFT(Table1[[#This Row],[Sap: Loaction]],4)</f>
        <v>1ESD</v>
      </c>
      <c r="C85" s="7" t="s">
        <v>506</v>
      </c>
      <c r="D85" s="7" t="s">
        <v>604</v>
      </c>
      <c r="E85" s="6">
        <v>5</v>
      </c>
      <c r="F85" s="6">
        <v>330</v>
      </c>
      <c r="G85" s="7">
        <v>258.89999999999998</v>
      </c>
      <c r="H85" s="7" t="s">
        <v>471</v>
      </c>
      <c r="I85" s="4">
        <v>4.3784999999999998</v>
      </c>
      <c r="J85" s="4">
        <v>39.986301369863014</v>
      </c>
      <c r="K85" s="5">
        <v>0.1095</v>
      </c>
      <c r="L85" s="6">
        <v>316</v>
      </c>
      <c r="M85" s="7">
        <v>22</v>
      </c>
      <c r="N85" s="7">
        <v>62.487000000000002</v>
      </c>
      <c r="O85" s="5">
        <v>0.35210000000000002</v>
      </c>
      <c r="P85" s="6">
        <v>335</v>
      </c>
      <c r="Q85" s="7">
        <v>63</v>
      </c>
      <c r="R85" s="7">
        <v>418</v>
      </c>
      <c r="S85" s="5">
        <v>0.15071770334928231</v>
      </c>
      <c r="T85" s="5">
        <v>0.23999634291286992</v>
      </c>
      <c r="U85" s="5">
        <v>0.628</v>
      </c>
      <c r="V85" s="6">
        <v>255</v>
      </c>
      <c r="W85" s="5">
        <v>0.81279164790202085</v>
      </c>
      <c r="X85" s="6">
        <v>292</v>
      </c>
      <c r="Y85" s="7">
        <v>9.8000000000000007</v>
      </c>
      <c r="Z85" s="6">
        <v>105</v>
      </c>
      <c r="AA85" s="7">
        <v>2</v>
      </c>
      <c r="AB85" s="7">
        <v>52</v>
      </c>
      <c r="AC85" s="5">
        <v>3.8461538461538464E-2</v>
      </c>
      <c r="AD85" s="5">
        <v>0.1</v>
      </c>
      <c r="AE85" s="5">
        <v>0.3846</v>
      </c>
      <c r="AF85" s="6">
        <v>248</v>
      </c>
      <c r="AG85" s="5">
        <v>0.33689433333333335</v>
      </c>
      <c r="AH85" s="5">
        <v>0.4</v>
      </c>
      <c r="AI85" s="5">
        <v>0.84219999999999995</v>
      </c>
      <c r="AJ85" s="6">
        <v>147</v>
      </c>
      <c r="AK85" s="7">
        <v>3</v>
      </c>
      <c r="AL85" s="7">
        <v>8</v>
      </c>
      <c r="AM85" s="5">
        <v>0.375</v>
      </c>
      <c r="AN85" s="5">
        <v>0.8</v>
      </c>
      <c r="AO85" s="5">
        <v>0.46879999999999999</v>
      </c>
      <c r="AP85" s="6">
        <v>314</v>
      </c>
    </row>
    <row r="86" spans="1:42">
      <c r="A86" s="10" t="str">
        <f>_xlfn.XLOOKUP(Table1[[#This Row],[SAP]],'Location List'!B:B,'Location List'!G:G)</f>
        <v>SOUTH TX/RGV</v>
      </c>
      <c r="B86" s="10" t="str">
        <f>LEFT(Table1[[#This Row],[Sap: Loaction]],4)</f>
        <v>598D</v>
      </c>
      <c r="C86" s="7" t="s">
        <v>506</v>
      </c>
      <c r="D86" s="7" t="s">
        <v>605</v>
      </c>
      <c r="E86" s="6">
        <v>5</v>
      </c>
      <c r="F86" s="6">
        <v>333</v>
      </c>
      <c r="G86" s="7">
        <v>261.5</v>
      </c>
      <c r="H86" s="7" t="s">
        <v>471</v>
      </c>
      <c r="I86" s="4">
        <v>12.944900000000001</v>
      </c>
      <c r="J86" s="4">
        <v>40.002781211372067</v>
      </c>
      <c r="K86" s="5">
        <v>0.3236</v>
      </c>
      <c r="L86" s="6">
        <v>275</v>
      </c>
      <c r="M86" s="7">
        <v>14</v>
      </c>
      <c r="N86" s="7">
        <v>56.698999999999998</v>
      </c>
      <c r="O86" s="5">
        <v>0.24690000000000001</v>
      </c>
      <c r="P86" s="6">
        <v>345</v>
      </c>
      <c r="Q86" s="7">
        <v>61</v>
      </c>
      <c r="R86" s="7">
        <v>424</v>
      </c>
      <c r="S86" s="5">
        <v>0.14386792452830188</v>
      </c>
      <c r="T86" s="5">
        <v>0.24001989410794439</v>
      </c>
      <c r="U86" s="5">
        <v>0.59940000000000004</v>
      </c>
      <c r="V86" s="6">
        <v>271</v>
      </c>
      <c r="W86" s="5">
        <v>1.2067534582462462</v>
      </c>
      <c r="X86" s="6">
        <v>171</v>
      </c>
      <c r="Y86" s="7">
        <v>8.1667000000000005</v>
      </c>
      <c r="Z86" s="6">
        <v>283</v>
      </c>
      <c r="AA86" s="7">
        <v>0</v>
      </c>
      <c r="AB86" s="7">
        <v>61</v>
      </c>
      <c r="AC86" s="5">
        <v>0</v>
      </c>
      <c r="AD86" s="5">
        <v>0.1</v>
      </c>
      <c r="AE86" s="5">
        <v>0</v>
      </c>
      <c r="AF86" s="6">
        <v>311</v>
      </c>
      <c r="AG86" s="5">
        <v>0.34561400000000003</v>
      </c>
      <c r="AH86" s="5">
        <v>0.4</v>
      </c>
      <c r="AI86" s="5">
        <v>0.86399999999999999</v>
      </c>
      <c r="AJ86" s="6">
        <v>139</v>
      </c>
      <c r="AK86" s="7">
        <v>7</v>
      </c>
      <c r="AL86" s="7">
        <v>10</v>
      </c>
      <c r="AM86" s="5">
        <v>0.7</v>
      </c>
      <c r="AN86" s="5">
        <v>0.8</v>
      </c>
      <c r="AO86" s="5">
        <v>0.875</v>
      </c>
      <c r="AP86" s="6">
        <v>219</v>
      </c>
    </row>
    <row r="87" spans="1:42">
      <c r="A87" s="10" t="str">
        <f>_xlfn.XLOOKUP(Table1[[#This Row],[SAP]],'Location List'!B:B,'Location List'!G:G)</f>
        <v>SA SOUTH</v>
      </c>
      <c r="B87" s="10" t="str">
        <f>LEFT(Table1[[#This Row],[Sap: Loaction]],4)</f>
        <v>1VSE</v>
      </c>
      <c r="C87" s="7" t="s">
        <v>506</v>
      </c>
      <c r="D87" s="7" t="s">
        <v>606</v>
      </c>
      <c r="E87" s="6">
        <v>5</v>
      </c>
      <c r="F87" s="6">
        <v>336</v>
      </c>
      <c r="G87" s="7">
        <v>262.39999999999998</v>
      </c>
      <c r="H87" s="7" t="s">
        <v>471</v>
      </c>
      <c r="I87" s="4">
        <v>-7.4417999999999997</v>
      </c>
      <c r="J87" s="4">
        <v>35.00376293508937</v>
      </c>
      <c r="K87" s="5">
        <v>-0.21260000000000001</v>
      </c>
      <c r="L87" s="6">
        <v>346</v>
      </c>
      <c r="M87" s="7">
        <v>29</v>
      </c>
      <c r="N87" s="7">
        <v>45.420999999999999</v>
      </c>
      <c r="O87" s="5">
        <v>0.63849999999999996</v>
      </c>
      <c r="P87" s="6">
        <v>243</v>
      </c>
      <c r="Q87" s="7">
        <v>43</v>
      </c>
      <c r="R87" s="7">
        <v>374</v>
      </c>
      <c r="S87" s="5">
        <v>0.11497326203208556</v>
      </c>
      <c r="T87" s="5">
        <v>0.23997758720952944</v>
      </c>
      <c r="U87" s="5">
        <v>0.47910000000000003</v>
      </c>
      <c r="V87" s="6">
        <v>323</v>
      </c>
      <c r="W87" s="5">
        <v>0.38624737020642308</v>
      </c>
      <c r="X87" s="6">
        <v>351</v>
      </c>
      <c r="Y87" s="7">
        <v>9.375</v>
      </c>
      <c r="Z87" s="6">
        <v>155</v>
      </c>
      <c r="AA87" s="7">
        <v>1</v>
      </c>
      <c r="AB87" s="7">
        <v>25</v>
      </c>
      <c r="AC87" s="5">
        <v>0.04</v>
      </c>
      <c r="AD87" s="5">
        <v>0.1</v>
      </c>
      <c r="AE87" s="5">
        <v>0.4</v>
      </c>
      <c r="AF87" s="6">
        <v>242</v>
      </c>
      <c r="AG87" s="5">
        <v>0.375</v>
      </c>
      <c r="AH87" s="5">
        <v>0.4</v>
      </c>
      <c r="AI87" s="5">
        <v>0.9375</v>
      </c>
      <c r="AJ87" s="6">
        <v>109</v>
      </c>
      <c r="AK87" s="7">
        <v>2</v>
      </c>
      <c r="AL87" s="7">
        <v>4</v>
      </c>
      <c r="AM87" s="5">
        <v>0.5</v>
      </c>
      <c r="AN87" s="5">
        <v>0.8</v>
      </c>
      <c r="AO87" s="5">
        <v>0.625</v>
      </c>
      <c r="AP87" s="6">
        <v>278</v>
      </c>
    </row>
    <row r="88" spans="1:42">
      <c r="A88" s="10" t="str">
        <f>_xlfn.XLOOKUP(Table1[[#This Row],[SAP]],'Location List'!B:B,'Location List'!G:G)</f>
        <v>DFW NORTH</v>
      </c>
      <c r="B88" s="10" t="str">
        <f>LEFT(Table1[[#This Row],[Sap: Loaction]],4)</f>
        <v>5429</v>
      </c>
      <c r="C88" s="7" t="s">
        <v>506</v>
      </c>
      <c r="D88" s="7" t="s">
        <v>607</v>
      </c>
      <c r="E88" s="6">
        <v>5</v>
      </c>
      <c r="F88" s="6">
        <v>337</v>
      </c>
      <c r="G88" s="7">
        <v>262.60000000000002</v>
      </c>
      <c r="H88" s="7" t="s">
        <v>471</v>
      </c>
      <c r="I88" s="4">
        <v>9.8740000000000006</v>
      </c>
      <c r="J88" s="4">
        <v>40.008103727714754</v>
      </c>
      <c r="K88" s="5">
        <v>0.24679999999999999</v>
      </c>
      <c r="L88" s="6">
        <v>293</v>
      </c>
      <c r="M88" s="7">
        <v>47</v>
      </c>
      <c r="N88" s="7">
        <v>74.38</v>
      </c>
      <c r="O88" s="5">
        <v>0.63190000000000002</v>
      </c>
      <c r="P88" s="6">
        <v>249</v>
      </c>
      <c r="Q88" s="7">
        <v>91</v>
      </c>
      <c r="R88" s="7">
        <v>678</v>
      </c>
      <c r="S88" s="5">
        <v>0.13421828908554573</v>
      </c>
      <c r="T88" s="5">
        <v>0.24001839965226346</v>
      </c>
      <c r="U88" s="5">
        <v>0.55920000000000003</v>
      </c>
      <c r="V88" s="6">
        <v>287</v>
      </c>
      <c r="W88" s="5">
        <v>1.0490473043091417</v>
      </c>
      <c r="X88" s="6">
        <v>221</v>
      </c>
      <c r="Y88" s="7">
        <v>9</v>
      </c>
      <c r="Z88" s="6">
        <v>194</v>
      </c>
      <c r="AA88" s="7">
        <v>3</v>
      </c>
      <c r="AB88" s="7">
        <v>83</v>
      </c>
      <c r="AC88" s="5">
        <v>3.614457831325301E-2</v>
      </c>
      <c r="AD88" s="5">
        <v>0.1</v>
      </c>
      <c r="AE88" s="5">
        <v>0.3614</v>
      </c>
      <c r="AF88" s="6">
        <v>255</v>
      </c>
      <c r="AG88" s="5">
        <v>0.23247833333333334</v>
      </c>
      <c r="AH88" s="5">
        <v>0.4</v>
      </c>
      <c r="AI88" s="5">
        <v>0.58120000000000005</v>
      </c>
      <c r="AJ88" s="6">
        <v>246</v>
      </c>
      <c r="AK88" s="7">
        <v>0</v>
      </c>
      <c r="AL88" s="7">
        <v>3</v>
      </c>
      <c r="AM88" s="5">
        <v>0</v>
      </c>
      <c r="AN88" s="5">
        <v>0.8</v>
      </c>
      <c r="AO88" s="5">
        <v>0</v>
      </c>
      <c r="AP88" s="6">
        <v>339</v>
      </c>
    </row>
    <row r="89" spans="1:42">
      <c r="A89" s="10" t="str">
        <f>_xlfn.XLOOKUP(Table1[[#This Row],[SAP]],'Location List'!B:B,'Location List'!G:G)</f>
        <v>DFW NORTH</v>
      </c>
      <c r="B89" s="10" t="str">
        <f>LEFT(Table1[[#This Row],[Sap: Loaction]],4)</f>
        <v>256E</v>
      </c>
      <c r="C89" s="7" t="s">
        <v>506</v>
      </c>
      <c r="D89" s="7" t="s">
        <v>608</v>
      </c>
      <c r="E89" s="6">
        <v>5</v>
      </c>
      <c r="F89" s="6">
        <v>343</v>
      </c>
      <c r="G89" s="7">
        <v>266.64999999999998</v>
      </c>
      <c r="H89" s="7" t="s">
        <v>471</v>
      </c>
      <c r="I89" s="4">
        <v>18.2974</v>
      </c>
      <c r="J89" s="4">
        <v>34.998852333588367</v>
      </c>
      <c r="K89" s="5">
        <v>0.52280000000000004</v>
      </c>
      <c r="L89" s="6">
        <v>223</v>
      </c>
      <c r="M89" s="7">
        <v>11</v>
      </c>
      <c r="N89" s="7">
        <v>53.039000000000001</v>
      </c>
      <c r="O89" s="5">
        <v>0.2074</v>
      </c>
      <c r="P89" s="6">
        <v>347</v>
      </c>
      <c r="Q89" s="7">
        <v>30</v>
      </c>
      <c r="R89" s="7">
        <v>243</v>
      </c>
      <c r="S89" s="5">
        <v>0.12345679012345678</v>
      </c>
      <c r="T89" s="5">
        <v>0.24000153600983046</v>
      </c>
      <c r="U89" s="5">
        <v>0.51439999999999997</v>
      </c>
      <c r="V89" s="6">
        <v>312</v>
      </c>
      <c r="W89" s="5">
        <v>0.35974860738990744</v>
      </c>
      <c r="X89" s="6">
        <v>353</v>
      </c>
      <c r="Y89" s="7">
        <v>7.5</v>
      </c>
      <c r="Z89" s="6">
        <v>322</v>
      </c>
      <c r="AA89" s="7">
        <v>0</v>
      </c>
      <c r="AB89" s="7">
        <v>50</v>
      </c>
      <c r="AC89" s="5">
        <v>0</v>
      </c>
      <c r="AD89" s="5">
        <v>0.1</v>
      </c>
      <c r="AE89" s="5">
        <v>0</v>
      </c>
      <c r="AF89" s="6">
        <v>311</v>
      </c>
      <c r="AG89" s="5">
        <v>0.27777766666666664</v>
      </c>
      <c r="AH89" s="5">
        <v>0.4</v>
      </c>
      <c r="AI89" s="5">
        <v>0.69440000000000002</v>
      </c>
      <c r="AJ89" s="6">
        <v>201</v>
      </c>
      <c r="AK89" s="7">
        <v>3</v>
      </c>
      <c r="AL89" s="7">
        <v>3</v>
      </c>
      <c r="AM89" s="5">
        <v>1</v>
      </c>
      <c r="AN89" s="5">
        <v>0.8</v>
      </c>
      <c r="AO89" s="5">
        <v>1.25</v>
      </c>
      <c r="AP89" s="6">
        <v>1</v>
      </c>
    </row>
    <row r="90" spans="1:42">
      <c r="A90" s="10" t="str">
        <f>_xlfn.XLOOKUP(Table1[[#This Row],[SAP]],'Location List'!B:B,'Location List'!G:G)</f>
        <v>MO/IA/NE</v>
      </c>
      <c r="B90" s="10" t="str">
        <f>LEFT(Table1[[#This Row],[Sap: Loaction]],4)</f>
        <v>4BSH</v>
      </c>
      <c r="C90" s="7" t="s">
        <v>506</v>
      </c>
      <c r="D90" s="7" t="s">
        <v>609</v>
      </c>
      <c r="E90" s="6">
        <v>5</v>
      </c>
      <c r="F90" s="6">
        <v>345</v>
      </c>
      <c r="G90" s="7">
        <v>272.89999999999998</v>
      </c>
      <c r="H90" s="7" t="s">
        <v>471</v>
      </c>
      <c r="I90" s="4">
        <v>19.871600000000001</v>
      </c>
      <c r="J90" s="4">
        <v>34.997534343078549</v>
      </c>
      <c r="K90" s="5">
        <v>0.56779999999999997</v>
      </c>
      <c r="L90" s="6">
        <v>207</v>
      </c>
      <c r="M90" s="7">
        <v>21</v>
      </c>
      <c r="N90" s="7">
        <v>40.542999999999999</v>
      </c>
      <c r="O90" s="5">
        <v>0.51800000000000002</v>
      </c>
      <c r="P90" s="6">
        <v>294</v>
      </c>
      <c r="Q90" s="7">
        <v>39</v>
      </c>
      <c r="R90" s="7">
        <v>353</v>
      </c>
      <c r="S90" s="5">
        <v>0.11048158640226628</v>
      </c>
      <c r="T90" s="5">
        <v>0.24002082642247727</v>
      </c>
      <c r="U90" s="5">
        <v>0.46029999999999999</v>
      </c>
      <c r="V90" s="6">
        <v>330</v>
      </c>
      <c r="W90" s="5">
        <v>0.85624978831538012</v>
      </c>
      <c r="X90" s="6">
        <v>285</v>
      </c>
      <c r="Y90" s="7">
        <v>9.5</v>
      </c>
      <c r="Z90" s="6">
        <v>142</v>
      </c>
      <c r="AA90" s="7">
        <v>1</v>
      </c>
      <c r="AB90" s="7">
        <v>81</v>
      </c>
      <c r="AC90" s="5">
        <v>1.2345679012345678E-2</v>
      </c>
      <c r="AD90" s="5">
        <v>0.1</v>
      </c>
      <c r="AE90" s="5">
        <v>0.1235</v>
      </c>
      <c r="AF90" s="6">
        <v>307</v>
      </c>
      <c r="AG90" s="5">
        <v>0.151282</v>
      </c>
      <c r="AH90" s="5">
        <v>0.4</v>
      </c>
      <c r="AI90" s="5">
        <v>0.37819999999999998</v>
      </c>
      <c r="AJ90" s="6">
        <v>317</v>
      </c>
      <c r="AK90" s="7">
        <v>1</v>
      </c>
      <c r="AL90" s="7">
        <v>2</v>
      </c>
      <c r="AM90" s="5">
        <v>0.5</v>
      </c>
      <c r="AN90" s="5">
        <v>0.8</v>
      </c>
      <c r="AO90" s="5">
        <v>0.625</v>
      </c>
      <c r="AP90" s="6">
        <v>278</v>
      </c>
    </row>
    <row r="91" spans="1:42">
      <c r="A91" s="10" t="str">
        <f>_xlfn.XLOOKUP(Table1[[#This Row],[SAP]],'Location List'!B:B,'Location List'!G:G)</f>
        <v>SA SOUTH</v>
      </c>
      <c r="B91" s="10" t="str">
        <f>LEFT(Table1[[#This Row],[Sap: Loaction]],4)</f>
        <v>584D</v>
      </c>
      <c r="C91" s="7" t="s">
        <v>506</v>
      </c>
      <c r="D91" s="7" t="s">
        <v>610</v>
      </c>
      <c r="E91" s="6">
        <v>5</v>
      </c>
      <c r="F91" s="6">
        <v>346</v>
      </c>
      <c r="G91" s="7">
        <v>273.39999999999998</v>
      </c>
      <c r="H91" s="7" t="s">
        <v>471</v>
      </c>
      <c r="I91" s="4">
        <v>-14.346500000000001</v>
      </c>
      <c r="J91" s="4">
        <v>35</v>
      </c>
      <c r="K91" s="5">
        <v>-0.40989999999999999</v>
      </c>
      <c r="L91" s="6">
        <v>349</v>
      </c>
      <c r="M91" s="7">
        <v>27</v>
      </c>
      <c r="N91" s="7">
        <v>41.765000000000001</v>
      </c>
      <c r="O91" s="5">
        <v>0.64649999999999996</v>
      </c>
      <c r="P91" s="6">
        <v>240</v>
      </c>
      <c r="Q91" s="7">
        <v>39</v>
      </c>
      <c r="R91" s="7">
        <v>238</v>
      </c>
      <c r="S91" s="5">
        <v>0.1638655462184874</v>
      </c>
      <c r="T91" s="5">
        <v>0.23999054806456854</v>
      </c>
      <c r="U91" s="5">
        <v>0.68279999999999996</v>
      </c>
      <c r="V91" s="6">
        <v>212</v>
      </c>
      <c r="W91" s="5">
        <v>0.51593294180294058</v>
      </c>
      <c r="X91" s="6">
        <v>344</v>
      </c>
      <c r="Y91" s="7">
        <v>7.25</v>
      </c>
      <c r="Z91" s="6">
        <v>331</v>
      </c>
      <c r="AA91" s="7">
        <v>2</v>
      </c>
      <c r="AB91" s="7">
        <v>22</v>
      </c>
      <c r="AC91" s="5">
        <v>9.0909090909090912E-2</v>
      </c>
      <c r="AD91" s="5">
        <v>0.1</v>
      </c>
      <c r="AE91" s="5">
        <v>0.90910000000000002</v>
      </c>
      <c r="AF91" s="6">
        <v>141</v>
      </c>
      <c r="AG91" s="5">
        <v>0.16666666666666666</v>
      </c>
      <c r="AH91" s="5">
        <v>0.4</v>
      </c>
      <c r="AI91" s="5">
        <v>0.41670000000000001</v>
      </c>
      <c r="AJ91" s="6">
        <v>307</v>
      </c>
      <c r="AK91" s="7">
        <v>0</v>
      </c>
      <c r="AL91" s="7">
        <v>4</v>
      </c>
      <c r="AM91" s="5">
        <v>0</v>
      </c>
      <c r="AN91" s="5">
        <v>0.8</v>
      </c>
      <c r="AO91" s="5">
        <v>0</v>
      </c>
      <c r="AP91" s="6">
        <v>339</v>
      </c>
    </row>
    <row r="92" spans="1:42">
      <c r="A92" s="10" t="str">
        <f>_xlfn.XLOOKUP(Table1[[#This Row],[SAP]],'Location List'!B:B,'Location List'!G:G)</f>
        <v>DFW NORTH</v>
      </c>
      <c r="B92" s="10" t="str">
        <f>LEFT(Table1[[#This Row],[Sap: Loaction]],4)</f>
        <v>1BSA</v>
      </c>
      <c r="C92" s="7" t="s">
        <v>506</v>
      </c>
      <c r="D92" s="7" t="s">
        <v>611</v>
      </c>
      <c r="E92" s="6">
        <v>5</v>
      </c>
      <c r="F92" s="6">
        <v>352</v>
      </c>
      <c r="G92" s="7">
        <v>291.7</v>
      </c>
      <c r="H92" s="7" t="s">
        <v>471</v>
      </c>
      <c r="I92" s="4">
        <v>4.9448999999999996</v>
      </c>
      <c r="J92" s="4">
        <v>34.995753715498935</v>
      </c>
      <c r="K92" s="5">
        <v>0.14130000000000001</v>
      </c>
      <c r="L92" s="6">
        <v>313</v>
      </c>
      <c r="M92" s="7">
        <v>21</v>
      </c>
      <c r="N92" s="7">
        <v>32.314</v>
      </c>
      <c r="O92" s="5">
        <v>0.64990000000000003</v>
      </c>
      <c r="P92" s="6">
        <v>238</v>
      </c>
      <c r="Q92" s="7">
        <v>32</v>
      </c>
      <c r="R92" s="7">
        <v>293</v>
      </c>
      <c r="S92" s="5">
        <v>0.10921501706484642</v>
      </c>
      <c r="T92" s="5">
        <v>0.23998026162348146</v>
      </c>
      <c r="U92" s="5">
        <v>0.4551</v>
      </c>
      <c r="V92" s="6">
        <v>331</v>
      </c>
      <c r="W92" s="5">
        <v>0.72515559609590741</v>
      </c>
      <c r="X92" s="6">
        <v>311</v>
      </c>
      <c r="Y92" s="7">
        <v>8.8000000000000007</v>
      </c>
      <c r="Z92" s="6">
        <v>227</v>
      </c>
      <c r="AA92" s="7">
        <v>1</v>
      </c>
      <c r="AB92" s="7">
        <v>34</v>
      </c>
      <c r="AC92" s="5">
        <v>2.9411764705882353E-2</v>
      </c>
      <c r="AD92" s="5">
        <v>0.1</v>
      </c>
      <c r="AE92" s="5">
        <v>0.29409999999999997</v>
      </c>
      <c r="AF92" s="6">
        <v>264</v>
      </c>
      <c r="AG92" s="5">
        <v>0.121212</v>
      </c>
      <c r="AH92" s="5">
        <v>0.4</v>
      </c>
      <c r="AI92" s="5">
        <v>0.30299999999999999</v>
      </c>
      <c r="AJ92" s="6">
        <v>334</v>
      </c>
      <c r="AK92" s="7">
        <v>1</v>
      </c>
      <c r="AL92" s="7">
        <v>4</v>
      </c>
      <c r="AM92" s="5">
        <v>0.25</v>
      </c>
      <c r="AN92" s="5">
        <v>0.8</v>
      </c>
      <c r="AO92" s="5">
        <v>0.3125</v>
      </c>
      <c r="AP92" s="6">
        <v>326</v>
      </c>
    </row>
    <row r="93" spans="1:42">
      <c r="A93" s="10" t="str">
        <f>_xlfn.XLOOKUP(Table1[[#This Row],[SAP]],'Location List'!B:B,'Location List'!G:G)</f>
        <v>MO/IA/NE</v>
      </c>
      <c r="B93" s="10" t="str">
        <f>LEFT(Table1[[#This Row],[Sap: Loaction]],4)</f>
        <v>4BSI</v>
      </c>
      <c r="C93" s="7" t="s">
        <v>506</v>
      </c>
      <c r="D93" s="7" t="s">
        <v>612</v>
      </c>
      <c r="E93" s="6">
        <v>5</v>
      </c>
      <c r="F93" s="6">
        <v>355</v>
      </c>
      <c r="G93" s="7">
        <v>299.75</v>
      </c>
      <c r="H93" s="7" t="s">
        <v>471</v>
      </c>
      <c r="I93" s="4">
        <v>11.3874</v>
      </c>
      <c r="J93" s="4">
        <v>29.998419388830346</v>
      </c>
      <c r="K93" s="5">
        <v>0.37959999999999999</v>
      </c>
      <c r="L93" s="6">
        <v>264</v>
      </c>
      <c r="M93" s="7">
        <v>18</v>
      </c>
      <c r="N93" s="7">
        <v>26.216999999999999</v>
      </c>
      <c r="O93" s="5">
        <v>0.68659999999999999</v>
      </c>
      <c r="P93" s="6">
        <v>226</v>
      </c>
      <c r="Q93" s="7">
        <v>33</v>
      </c>
      <c r="R93" s="7">
        <v>222</v>
      </c>
      <c r="S93" s="5">
        <v>0.14864864864864866</v>
      </c>
      <c r="T93" s="5">
        <v>0.23998813149604242</v>
      </c>
      <c r="U93" s="5">
        <v>0.61939999999999995</v>
      </c>
      <c r="V93" s="6">
        <v>260</v>
      </c>
      <c r="W93" s="5">
        <v>0.46201476323668911</v>
      </c>
      <c r="X93" s="6">
        <v>347</v>
      </c>
      <c r="Y93" s="7">
        <v>3.3332999999999999</v>
      </c>
      <c r="Z93" s="6">
        <v>357</v>
      </c>
      <c r="AA93" s="7">
        <v>0</v>
      </c>
      <c r="AB93" s="7">
        <v>41</v>
      </c>
      <c r="AC93" s="5">
        <v>0</v>
      </c>
      <c r="AD93" s="5">
        <v>0.1</v>
      </c>
      <c r="AE93" s="5">
        <v>0</v>
      </c>
      <c r="AF93" s="6">
        <v>311</v>
      </c>
      <c r="AG93" s="5">
        <v>0</v>
      </c>
      <c r="AH93" s="5">
        <v>0.4</v>
      </c>
      <c r="AI93" s="5">
        <v>0</v>
      </c>
      <c r="AJ93" s="6">
        <v>353</v>
      </c>
      <c r="AK93" s="7">
        <v>0</v>
      </c>
      <c r="AL93" s="7">
        <v>0</v>
      </c>
      <c r="AM93" s="5" t="s">
        <v>613</v>
      </c>
      <c r="AN93" s="5">
        <v>0.8</v>
      </c>
      <c r="AO93" s="5"/>
      <c r="AP93" s="6">
        <v>349</v>
      </c>
    </row>
    <row r="94" spans="1:42">
      <c r="A94" s="10" t="str">
        <f>_xlfn.XLOOKUP(Table1[[#This Row],[SAP]],'Location List'!B:B,'Location List'!G:G)</f>
        <v>DFW NORTH</v>
      </c>
      <c r="B94" s="10" t="str">
        <f>LEFT(Table1[[#This Row],[Sap: Loaction]],4)</f>
        <v>1239</v>
      </c>
      <c r="C94" s="7" t="s">
        <v>506</v>
      </c>
      <c r="D94" s="7" t="s">
        <v>614</v>
      </c>
      <c r="E94" s="6">
        <v>5</v>
      </c>
      <c r="F94" s="6">
        <v>356</v>
      </c>
      <c r="G94" s="7">
        <v>300</v>
      </c>
      <c r="H94" s="7" t="s">
        <v>471</v>
      </c>
      <c r="I94" s="4">
        <v>-41.4358</v>
      </c>
      <c r="J94" s="4">
        <v>34.999408733845769</v>
      </c>
      <c r="K94" s="5">
        <v>-1.1839</v>
      </c>
      <c r="L94" s="6">
        <v>359</v>
      </c>
      <c r="M94" s="7">
        <v>15</v>
      </c>
      <c r="N94" s="7">
        <v>51.518000000000001</v>
      </c>
      <c r="O94" s="5">
        <v>0.29120000000000001</v>
      </c>
      <c r="P94" s="6">
        <v>341</v>
      </c>
      <c r="Q94" s="7">
        <v>47</v>
      </c>
      <c r="R94" s="7">
        <v>393</v>
      </c>
      <c r="S94" s="5">
        <v>0.11959287531806616</v>
      </c>
      <c r="T94" s="5">
        <v>0.24000175660860154</v>
      </c>
      <c r="U94" s="5">
        <v>0.49830000000000002</v>
      </c>
      <c r="V94" s="6">
        <v>315</v>
      </c>
      <c r="W94" s="5">
        <v>0.51988858241092795</v>
      </c>
      <c r="X94" s="6">
        <v>342</v>
      </c>
      <c r="Y94" s="7">
        <v>8.5714000000000006</v>
      </c>
      <c r="Z94" s="6">
        <v>252</v>
      </c>
      <c r="AA94" s="7">
        <v>0</v>
      </c>
      <c r="AB94" s="7">
        <v>35</v>
      </c>
      <c r="AC94" s="5">
        <v>0</v>
      </c>
      <c r="AD94" s="5">
        <v>0.1</v>
      </c>
      <c r="AE94" s="5">
        <v>0</v>
      </c>
      <c r="AF94" s="6">
        <v>311</v>
      </c>
      <c r="AG94" s="5">
        <v>0.34444433333333335</v>
      </c>
      <c r="AH94" s="5">
        <v>0.4</v>
      </c>
      <c r="AI94" s="5">
        <v>0.86109999999999998</v>
      </c>
      <c r="AJ94" s="6">
        <v>141</v>
      </c>
      <c r="AK94" s="7">
        <v>10</v>
      </c>
      <c r="AL94" s="7">
        <v>19</v>
      </c>
      <c r="AM94" s="5">
        <v>0.52631578947368418</v>
      </c>
      <c r="AN94" s="5">
        <v>0.8</v>
      </c>
      <c r="AO94" s="5">
        <v>0.65790000000000004</v>
      </c>
      <c r="AP94" s="6">
        <v>276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627F-9AEB-0F41-944C-422542FAFC85}">
  <dimension ref="A1:L98"/>
  <sheetViews>
    <sheetView workbookViewId="0">
      <selection sqref="A1:L98"/>
    </sheetView>
  </sheetViews>
  <sheetFormatPr baseColWidth="10" defaultRowHeight="16"/>
  <cols>
    <col min="1" max="1" width="37" customWidth="1"/>
    <col min="2" max="2" width="14.33203125" customWidth="1"/>
    <col min="3" max="3" width="17" customWidth="1"/>
    <col min="4" max="4" width="33.5" customWidth="1"/>
    <col min="5" max="5" width="17.5" customWidth="1"/>
    <col min="6" max="6" width="8.5" customWidth="1"/>
    <col min="7" max="7" width="15.83203125" customWidth="1"/>
    <col min="8" max="8" width="10.33203125" customWidth="1"/>
    <col min="9" max="9" width="12.83203125" customWidth="1"/>
    <col min="10" max="10" width="20.83203125" customWidth="1"/>
    <col min="11" max="11" width="13" customWidth="1"/>
    <col min="12" max="12" width="12.33203125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27</v>
      </c>
      <c r="B4" t="s">
        <v>28</v>
      </c>
      <c r="C4" t="s">
        <v>29</v>
      </c>
      <c r="D4" t="s">
        <v>30</v>
      </c>
      <c r="E4" t="s">
        <v>29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>
      <c r="A6" t="s">
        <v>36</v>
      </c>
      <c r="B6" t="s">
        <v>37</v>
      </c>
      <c r="C6" t="s">
        <v>38</v>
      </c>
      <c r="D6" t="s">
        <v>39</v>
      </c>
      <c r="E6" t="s">
        <v>35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40</v>
      </c>
      <c r="B7" t="s">
        <v>41</v>
      </c>
      <c r="C7" t="s">
        <v>42</v>
      </c>
      <c r="D7" t="s">
        <v>43</v>
      </c>
      <c r="E7" t="s">
        <v>42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>
      <c r="A9" t="s">
        <v>49</v>
      </c>
      <c r="B9" t="s">
        <v>50</v>
      </c>
      <c r="C9" t="s">
        <v>51</v>
      </c>
      <c r="D9" t="s">
        <v>52</v>
      </c>
      <c r="E9" t="s">
        <v>51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>
      <c r="A10" t="s">
        <v>53</v>
      </c>
      <c r="B10" t="s">
        <v>54</v>
      </c>
      <c r="C10" t="s">
        <v>55</v>
      </c>
      <c r="D10" t="s">
        <v>56</v>
      </c>
      <c r="E10" t="s">
        <v>55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>
      <c r="A11" t="s">
        <v>57</v>
      </c>
      <c r="B11" t="s">
        <v>58</v>
      </c>
      <c r="C11" t="s">
        <v>59</v>
      </c>
      <c r="D11" t="s">
        <v>60</v>
      </c>
      <c r="E11" t="s">
        <v>59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>
      <c r="A12" t="s">
        <v>61</v>
      </c>
      <c r="B12" t="s">
        <v>62</v>
      </c>
      <c r="C12" t="s">
        <v>63</v>
      </c>
      <c r="D12" t="s">
        <v>64</v>
      </c>
      <c r="E12" t="s">
        <v>63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>
      <c r="A13" t="s">
        <v>65</v>
      </c>
      <c r="B13" t="s">
        <v>66</v>
      </c>
      <c r="C13" t="s">
        <v>67</v>
      </c>
      <c r="D13" t="s">
        <v>68</v>
      </c>
      <c r="E13" t="s">
        <v>67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>
      <c r="A14" t="s">
        <v>69</v>
      </c>
      <c r="B14" t="s">
        <v>70</v>
      </c>
      <c r="C14" t="s">
        <v>71</v>
      </c>
      <c r="D14" t="s">
        <v>72</v>
      </c>
      <c r="E14" t="s">
        <v>71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 spans="1:12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17</v>
      </c>
      <c r="G15" t="s">
        <v>78</v>
      </c>
      <c r="H15" t="s">
        <v>19</v>
      </c>
      <c r="I15" t="s">
        <v>20</v>
      </c>
      <c r="J15" t="s">
        <v>79</v>
      </c>
      <c r="K15" t="s">
        <v>22</v>
      </c>
      <c r="L15" t="s">
        <v>23</v>
      </c>
    </row>
    <row r="16" spans="1:12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17</v>
      </c>
      <c r="G16" t="s">
        <v>78</v>
      </c>
      <c r="H16" t="s">
        <v>19</v>
      </c>
      <c r="I16" t="s">
        <v>20</v>
      </c>
      <c r="J16" t="s">
        <v>79</v>
      </c>
      <c r="K16" t="s">
        <v>22</v>
      </c>
      <c r="L16" t="s">
        <v>23</v>
      </c>
    </row>
    <row r="17" spans="1:12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17</v>
      </c>
      <c r="G17" t="s">
        <v>78</v>
      </c>
      <c r="H17" t="s">
        <v>19</v>
      </c>
      <c r="I17" t="s">
        <v>20</v>
      </c>
      <c r="J17" t="s">
        <v>79</v>
      </c>
      <c r="K17" t="s">
        <v>22</v>
      </c>
      <c r="L17" t="s">
        <v>23</v>
      </c>
    </row>
    <row r="18" spans="1:12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17</v>
      </c>
      <c r="G18" t="s">
        <v>78</v>
      </c>
      <c r="H18" t="s">
        <v>19</v>
      </c>
      <c r="I18" t="s">
        <v>20</v>
      </c>
      <c r="J18" t="s">
        <v>79</v>
      </c>
      <c r="K18" t="s">
        <v>22</v>
      </c>
      <c r="L18" t="s">
        <v>23</v>
      </c>
    </row>
    <row r="19" spans="1:12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78</v>
      </c>
      <c r="H19" t="s">
        <v>19</v>
      </c>
      <c r="I19" t="s">
        <v>20</v>
      </c>
      <c r="J19" t="s">
        <v>79</v>
      </c>
      <c r="K19" t="s">
        <v>22</v>
      </c>
      <c r="L19" t="s">
        <v>23</v>
      </c>
    </row>
    <row r="20" spans="1:12">
      <c r="A20" s="2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17</v>
      </c>
      <c r="G20" t="s">
        <v>78</v>
      </c>
      <c r="H20" t="s">
        <v>19</v>
      </c>
      <c r="I20" t="s">
        <v>20</v>
      </c>
      <c r="J20" t="s">
        <v>79</v>
      </c>
      <c r="K20" t="s">
        <v>22</v>
      </c>
      <c r="L20" t="s">
        <v>23</v>
      </c>
    </row>
    <row r="21" spans="1:12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17</v>
      </c>
      <c r="G21" t="s">
        <v>78</v>
      </c>
      <c r="H21" t="s">
        <v>19</v>
      </c>
      <c r="I21" t="s">
        <v>20</v>
      </c>
      <c r="J21" t="s">
        <v>79</v>
      </c>
      <c r="K21" t="s">
        <v>22</v>
      </c>
      <c r="L21" t="s">
        <v>23</v>
      </c>
    </row>
    <row r="22" spans="1:12">
      <c r="A22" s="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17</v>
      </c>
      <c r="G22" t="s">
        <v>78</v>
      </c>
      <c r="H22" t="s">
        <v>19</v>
      </c>
      <c r="I22" t="s">
        <v>20</v>
      </c>
      <c r="J22" t="s">
        <v>79</v>
      </c>
      <c r="K22" t="s">
        <v>22</v>
      </c>
      <c r="L22" t="s">
        <v>23</v>
      </c>
    </row>
    <row r="23" spans="1:12">
      <c r="A23" t="s">
        <v>116</v>
      </c>
      <c r="B23" t="s">
        <v>117</v>
      </c>
      <c r="C23" t="s">
        <v>118</v>
      </c>
      <c r="D23" t="s">
        <v>119</v>
      </c>
      <c r="E23" t="s">
        <v>105</v>
      </c>
      <c r="F23" t="s">
        <v>17</v>
      </c>
      <c r="G23" t="s">
        <v>78</v>
      </c>
      <c r="H23" t="s">
        <v>19</v>
      </c>
      <c r="I23" t="s">
        <v>20</v>
      </c>
      <c r="J23" t="s">
        <v>79</v>
      </c>
      <c r="K23" t="s">
        <v>22</v>
      </c>
      <c r="L23" t="s">
        <v>23</v>
      </c>
    </row>
    <row r="24" spans="1:12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17</v>
      </c>
      <c r="G24" t="s">
        <v>78</v>
      </c>
      <c r="H24" t="s">
        <v>19</v>
      </c>
      <c r="I24" t="s">
        <v>20</v>
      </c>
      <c r="J24" t="s">
        <v>79</v>
      </c>
      <c r="K24" t="s">
        <v>22</v>
      </c>
      <c r="L24" t="s">
        <v>23</v>
      </c>
    </row>
    <row r="25" spans="1:12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17</v>
      </c>
      <c r="G25" t="s">
        <v>130</v>
      </c>
      <c r="H25" t="s">
        <v>19</v>
      </c>
      <c r="I25" t="s">
        <v>20</v>
      </c>
      <c r="J25" t="s">
        <v>131</v>
      </c>
      <c r="K25" t="s">
        <v>22</v>
      </c>
      <c r="L25" t="s">
        <v>23</v>
      </c>
    </row>
    <row r="26" spans="1:12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17</v>
      </c>
      <c r="G26" t="s">
        <v>130</v>
      </c>
      <c r="H26" t="s">
        <v>19</v>
      </c>
      <c r="I26" t="s">
        <v>20</v>
      </c>
      <c r="J26" t="s">
        <v>131</v>
      </c>
      <c r="K26" t="s">
        <v>22</v>
      </c>
      <c r="L26" t="s">
        <v>23</v>
      </c>
    </row>
    <row r="27" spans="1:12">
      <c r="A27" t="s">
        <v>137</v>
      </c>
      <c r="B27" t="s">
        <v>138</v>
      </c>
      <c r="C27" t="s">
        <v>139</v>
      </c>
      <c r="D27" t="s">
        <v>140</v>
      </c>
      <c r="E27" t="s">
        <v>139</v>
      </c>
      <c r="F27" t="s">
        <v>17</v>
      </c>
      <c r="G27" t="s">
        <v>130</v>
      </c>
      <c r="H27" t="s">
        <v>19</v>
      </c>
      <c r="I27" t="s">
        <v>20</v>
      </c>
      <c r="J27" t="s">
        <v>131</v>
      </c>
      <c r="K27" t="s">
        <v>22</v>
      </c>
      <c r="L27" t="s">
        <v>23</v>
      </c>
    </row>
    <row r="28" spans="1:12">
      <c r="A28" t="s">
        <v>141</v>
      </c>
      <c r="B28" t="s">
        <v>142</v>
      </c>
      <c r="C28" t="s">
        <v>143</v>
      </c>
      <c r="D28" t="s">
        <v>144</v>
      </c>
      <c r="E28" t="s">
        <v>143</v>
      </c>
      <c r="F28" t="s">
        <v>17</v>
      </c>
      <c r="G28" t="s">
        <v>130</v>
      </c>
      <c r="H28" t="s">
        <v>19</v>
      </c>
      <c r="I28" t="s">
        <v>20</v>
      </c>
      <c r="J28" t="s">
        <v>131</v>
      </c>
      <c r="K28" t="s">
        <v>22</v>
      </c>
      <c r="L28" t="s">
        <v>23</v>
      </c>
    </row>
    <row r="29" spans="1:12">
      <c r="A29" t="s">
        <v>145</v>
      </c>
      <c r="B29" t="s">
        <v>146</v>
      </c>
      <c r="C29" t="s">
        <v>147</v>
      </c>
      <c r="D29" t="s">
        <v>148</v>
      </c>
      <c r="E29" t="s">
        <v>143</v>
      </c>
      <c r="F29" t="s">
        <v>17</v>
      </c>
      <c r="G29" t="s">
        <v>130</v>
      </c>
      <c r="H29" t="s">
        <v>19</v>
      </c>
      <c r="I29" t="s">
        <v>20</v>
      </c>
      <c r="J29" t="s">
        <v>131</v>
      </c>
      <c r="K29" t="s">
        <v>22</v>
      </c>
      <c r="L29" t="s">
        <v>23</v>
      </c>
    </row>
    <row r="30" spans="1:12">
      <c r="A30" t="s">
        <v>149</v>
      </c>
      <c r="B30" t="s">
        <v>150</v>
      </c>
      <c r="C30" t="s">
        <v>151</v>
      </c>
      <c r="D30" t="s">
        <v>152</v>
      </c>
      <c r="E30" t="s">
        <v>151</v>
      </c>
      <c r="F30" t="s">
        <v>17</v>
      </c>
      <c r="G30" t="s">
        <v>130</v>
      </c>
      <c r="H30" t="s">
        <v>19</v>
      </c>
      <c r="I30" t="s">
        <v>20</v>
      </c>
      <c r="J30" t="s">
        <v>131</v>
      </c>
      <c r="K30" t="s">
        <v>22</v>
      </c>
      <c r="L30" t="s">
        <v>23</v>
      </c>
    </row>
    <row r="31" spans="1:12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17</v>
      </c>
      <c r="G31" t="s">
        <v>130</v>
      </c>
      <c r="H31" t="s">
        <v>19</v>
      </c>
      <c r="I31" t="s">
        <v>20</v>
      </c>
      <c r="J31" t="s">
        <v>131</v>
      </c>
      <c r="K31" t="s">
        <v>22</v>
      </c>
      <c r="L31" t="s">
        <v>23</v>
      </c>
    </row>
    <row r="32" spans="1:12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17</v>
      </c>
      <c r="G32" t="s">
        <v>130</v>
      </c>
      <c r="H32" t="s">
        <v>19</v>
      </c>
      <c r="I32" t="s">
        <v>20</v>
      </c>
      <c r="J32" t="s">
        <v>131</v>
      </c>
      <c r="K32" t="s">
        <v>22</v>
      </c>
      <c r="L32" t="s">
        <v>23</v>
      </c>
    </row>
    <row r="33" spans="1:12">
      <c r="A33" t="s">
        <v>163</v>
      </c>
      <c r="B33" t="s">
        <v>164</v>
      </c>
      <c r="C33" t="s">
        <v>165</v>
      </c>
      <c r="D33" t="s">
        <v>166</v>
      </c>
      <c r="E33" t="s">
        <v>165</v>
      </c>
      <c r="F33" t="s">
        <v>17</v>
      </c>
      <c r="G33" t="s">
        <v>130</v>
      </c>
      <c r="H33" t="s">
        <v>19</v>
      </c>
      <c r="I33" t="s">
        <v>20</v>
      </c>
      <c r="J33" t="s">
        <v>131</v>
      </c>
      <c r="K33" t="s">
        <v>22</v>
      </c>
      <c r="L33" t="s">
        <v>23</v>
      </c>
    </row>
    <row r="34" spans="1:12">
      <c r="A34" t="s">
        <v>167</v>
      </c>
      <c r="B34" t="s">
        <v>168</v>
      </c>
      <c r="C34" t="s">
        <v>169</v>
      </c>
      <c r="D34" t="s">
        <v>170</v>
      </c>
      <c r="E34" t="s">
        <v>169</v>
      </c>
      <c r="F34" t="s">
        <v>17</v>
      </c>
      <c r="G34" t="s">
        <v>130</v>
      </c>
      <c r="H34" t="s">
        <v>19</v>
      </c>
      <c r="I34" t="s">
        <v>20</v>
      </c>
      <c r="J34" t="s">
        <v>131</v>
      </c>
      <c r="K34" t="s">
        <v>22</v>
      </c>
      <c r="L34" t="s">
        <v>23</v>
      </c>
    </row>
    <row r="35" spans="1:12">
      <c r="A35" t="s">
        <v>171</v>
      </c>
      <c r="B35" t="s">
        <v>172</v>
      </c>
      <c r="C35" t="s">
        <v>173</v>
      </c>
      <c r="D35" t="s">
        <v>174</v>
      </c>
      <c r="E35" t="s">
        <v>173</v>
      </c>
      <c r="F35" t="s">
        <v>17</v>
      </c>
      <c r="G35" t="s">
        <v>130</v>
      </c>
      <c r="H35" t="s">
        <v>19</v>
      </c>
      <c r="I35" t="s">
        <v>20</v>
      </c>
      <c r="J35" t="s">
        <v>131</v>
      </c>
      <c r="K35" t="s">
        <v>22</v>
      </c>
      <c r="L35" t="s">
        <v>23</v>
      </c>
    </row>
    <row r="36" spans="1:12">
      <c r="A36" t="s">
        <v>175</v>
      </c>
      <c r="B36" t="s">
        <v>176</v>
      </c>
      <c r="C36" t="s">
        <v>177</v>
      </c>
      <c r="D36" t="s">
        <v>178</v>
      </c>
      <c r="E36" t="s">
        <v>105</v>
      </c>
      <c r="F36" t="s">
        <v>17</v>
      </c>
      <c r="G36" t="s">
        <v>130</v>
      </c>
      <c r="H36" t="s">
        <v>19</v>
      </c>
      <c r="I36" t="s">
        <v>20</v>
      </c>
      <c r="J36" t="s">
        <v>131</v>
      </c>
      <c r="K36" t="s">
        <v>22</v>
      </c>
      <c r="L36" t="s">
        <v>23</v>
      </c>
    </row>
    <row r="37" spans="1:12">
      <c r="A37" t="s">
        <v>179</v>
      </c>
      <c r="B37" t="s">
        <v>180</v>
      </c>
      <c r="C37" t="s">
        <v>181</v>
      </c>
      <c r="D37" t="s">
        <v>182</v>
      </c>
      <c r="E37" t="s">
        <v>181</v>
      </c>
      <c r="F37" t="s">
        <v>17</v>
      </c>
      <c r="G37" t="s">
        <v>130</v>
      </c>
      <c r="H37" t="s">
        <v>19</v>
      </c>
      <c r="I37" t="s">
        <v>20</v>
      </c>
      <c r="J37" t="s">
        <v>131</v>
      </c>
      <c r="K37" t="s">
        <v>22</v>
      </c>
      <c r="L37" t="s">
        <v>23</v>
      </c>
    </row>
    <row r="38" spans="1:12">
      <c r="A38" t="s">
        <v>183</v>
      </c>
      <c r="B38" t="s">
        <v>184</v>
      </c>
      <c r="C38" t="s">
        <v>185</v>
      </c>
      <c r="D38" t="s">
        <v>186</v>
      </c>
      <c r="E38" t="s">
        <v>185</v>
      </c>
      <c r="F38" t="s">
        <v>187</v>
      </c>
      <c r="G38" t="s">
        <v>188</v>
      </c>
      <c r="H38" t="s">
        <v>19</v>
      </c>
      <c r="I38" t="s">
        <v>20</v>
      </c>
      <c r="J38" t="s">
        <v>189</v>
      </c>
      <c r="K38" t="s">
        <v>22</v>
      </c>
      <c r="L38" t="s">
        <v>23</v>
      </c>
    </row>
    <row r="39" spans="1:12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 t="s">
        <v>187</v>
      </c>
      <c r="G39" t="s">
        <v>188</v>
      </c>
      <c r="H39" t="s">
        <v>19</v>
      </c>
      <c r="I39" t="s">
        <v>20</v>
      </c>
      <c r="J39" t="s">
        <v>189</v>
      </c>
      <c r="K39" t="s">
        <v>22</v>
      </c>
      <c r="L39" t="s">
        <v>23</v>
      </c>
    </row>
    <row r="40" spans="1:12">
      <c r="A40" t="s">
        <v>195</v>
      </c>
      <c r="B40" t="s">
        <v>196</v>
      </c>
      <c r="C40" t="s">
        <v>197</v>
      </c>
      <c r="D40" t="s">
        <v>198</v>
      </c>
      <c r="E40" t="s">
        <v>194</v>
      </c>
      <c r="F40" t="s">
        <v>187</v>
      </c>
      <c r="G40" t="s">
        <v>188</v>
      </c>
      <c r="H40" t="s">
        <v>19</v>
      </c>
      <c r="I40" t="s">
        <v>20</v>
      </c>
      <c r="J40" t="s">
        <v>189</v>
      </c>
      <c r="K40" t="s">
        <v>22</v>
      </c>
      <c r="L40" t="s">
        <v>23</v>
      </c>
    </row>
    <row r="41" spans="1:12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204</v>
      </c>
      <c r="G41" t="s">
        <v>188</v>
      </c>
      <c r="H41" t="s">
        <v>19</v>
      </c>
      <c r="I41" t="s">
        <v>20</v>
      </c>
      <c r="J41" t="s">
        <v>189</v>
      </c>
      <c r="K41" t="s">
        <v>22</v>
      </c>
      <c r="L41" t="s">
        <v>23</v>
      </c>
    </row>
    <row r="42" spans="1:12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204</v>
      </c>
      <c r="G42" t="s">
        <v>188</v>
      </c>
      <c r="H42" t="s">
        <v>19</v>
      </c>
      <c r="I42" t="s">
        <v>20</v>
      </c>
      <c r="J42" t="s">
        <v>189</v>
      </c>
      <c r="K42" t="s">
        <v>22</v>
      </c>
      <c r="L42" t="s">
        <v>23</v>
      </c>
    </row>
    <row r="43" spans="1:12">
      <c r="A43" t="s">
        <v>210</v>
      </c>
      <c r="B43" t="s">
        <v>211</v>
      </c>
      <c r="C43" t="s">
        <v>212</v>
      </c>
      <c r="D43" t="s">
        <v>213</v>
      </c>
      <c r="E43" t="s">
        <v>212</v>
      </c>
      <c r="F43" t="s">
        <v>187</v>
      </c>
      <c r="G43" t="s">
        <v>188</v>
      </c>
      <c r="H43" t="s">
        <v>19</v>
      </c>
      <c r="I43" t="s">
        <v>20</v>
      </c>
      <c r="J43" t="s">
        <v>189</v>
      </c>
      <c r="K43" t="s">
        <v>22</v>
      </c>
      <c r="L43" t="s">
        <v>23</v>
      </c>
    </row>
    <row r="44" spans="1:12">
      <c r="A44" t="s">
        <v>214</v>
      </c>
      <c r="B44" t="s">
        <v>215</v>
      </c>
      <c r="C44" t="s">
        <v>216</v>
      </c>
      <c r="D44" t="s">
        <v>217</v>
      </c>
      <c r="E44" t="s">
        <v>216</v>
      </c>
      <c r="F44" t="s">
        <v>187</v>
      </c>
      <c r="G44" t="s">
        <v>188</v>
      </c>
      <c r="H44" t="s">
        <v>19</v>
      </c>
      <c r="I44" t="s">
        <v>20</v>
      </c>
      <c r="J44" t="s">
        <v>189</v>
      </c>
      <c r="K44" t="s">
        <v>22</v>
      </c>
      <c r="L44" t="s">
        <v>23</v>
      </c>
    </row>
    <row r="45" spans="1:12">
      <c r="A45" t="s">
        <v>218</v>
      </c>
      <c r="B45" t="s">
        <v>219</v>
      </c>
      <c r="C45" t="s">
        <v>220</v>
      </c>
      <c r="D45" t="s">
        <v>221</v>
      </c>
      <c r="E45" t="s">
        <v>220</v>
      </c>
      <c r="F45" t="s">
        <v>187</v>
      </c>
      <c r="G45" t="s">
        <v>188</v>
      </c>
      <c r="H45" t="s">
        <v>19</v>
      </c>
      <c r="I45" t="s">
        <v>20</v>
      </c>
      <c r="J45" t="s">
        <v>189</v>
      </c>
      <c r="K45" t="s">
        <v>22</v>
      </c>
      <c r="L45" t="s">
        <v>23</v>
      </c>
    </row>
    <row r="46" spans="1:12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 t="s">
        <v>187</v>
      </c>
      <c r="G46" t="s">
        <v>188</v>
      </c>
      <c r="H46" t="s">
        <v>19</v>
      </c>
      <c r="I46" t="s">
        <v>20</v>
      </c>
      <c r="J46" t="s">
        <v>189</v>
      </c>
      <c r="K46" t="s">
        <v>22</v>
      </c>
      <c r="L46" t="s">
        <v>23</v>
      </c>
    </row>
    <row r="47" spans="1:12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187</v>
      </c>
      <c r="G47" t="s">
        <v>188</v>
      </c>
      <c r="H47" t="s">
        <v>19</v>
      </c>
      <c r="I47" t="s">
        <v>20</v>
      </c>
      <c r="J47" t="s">
        <v>189</v>
      </c>
      <c r="K47" t="s">
        <v>22</v>
      </c>
      <c r="L47" t="s">
        <v>23</v>
      </c>
    </row>
    <row r="48" spans="1:12">
      <c r="A48" t="s">
        <v>232</v>
      </c>
      <c r="B48" t="s">
        <v>233</v>
      </c>
      <c r="C48" t="s">
        <v>234</v>
      </c>
      <c r="D48" t="s">
        <v>235</v>
      </c>
      <c r="E48" t="s">
        <v>234</v>
      </c>
      <c r="F48" t="s">
        <v>187</v>
      </c>
      <c r="G48" t="s">
        <v>188</v>
      </c>
      <c r="H48" t="s">
        <v>19</v>
      </c>
      <c r="I48" t="s">
        <v>20</v>
      </c>
      <c r="J48" t="s">
        <v>189</v>
      </c>
      <c r="K48" t="s">
        <v>22</v>
      </c>
      <c r="L48" t="s">
        <v>23</v>
      </c>
    </row>
    <row r="49" spans="1:12">
      <c r="A49" t="s">
        <v>236</v>
      </c>
      <c r="B49" t="s">
        <v>237</v>
      </c>
      <c r="C49" t="s">
        <v>238</v>
      </c>
      <c r="D49" t="s">
        <v>239</v>
      </c>
      <c r="E49" t="s">
        <v>240</v>
      </c>
      <c r="F49" t="s">
        <v>187</v>
      </c>
      <c r="G49" t="s">
        <v>188</v>
      </c>
      <c r="H49" t="s">
        <v>19</v>
      </c>
      <c r="I49" t="s">
        <v>20</v>
      </c>
      <c r="J49" t="s">
        <v>189</v>
      </c>
      <c r="K49" t="s">
        <v>22</v>
      </c>
      <c r="L49" t="s">
        <v>23</v>
      </c>
    </row>
    <row r="50" spans="1:12">
      <c r="A50" t="s">
        <v>241</v>
      </c>
      <c r="B50" t="s">
        <v>242</v>
      </c>
      <c r="C50" t="s">
        <v>243</v>
      </c>
      <c r="D50" t="s">
        <v>244</v>
      </c>
      <c r="E50" t="s">
        <v>243</v>
      </c>
      <c r="F50" t="s">
        <v>187</v>
      </c>
      <c r="G50" t="s">
        <v>188</v>
      </c>
      <c r="H50" t="s">
        <v>19</v>
      </c>
      <c r="I50" t="s">
        <v>20</v>
      </c>
      <c r="J50" t="s">
        <v>189</v>
      </c>
      <c r="K50" t="s">
        <v>22</v>
      </c>
      <c r="L50" t="s">
        <v>23</v>
      </c>
    </row>
    <row r="51" spans="1:12">
      <c r="A51" t="s">
        <v>245</v>
      </c>
      <c r="B51" t="s">
        <v>246</v>
      </c>
      <c r="C51" t="s">
        <v>247</v>
      </c>
      <c r="D51" t="s">
        <v>248</v>
      </c>
      <c r="E51" t="s">
        <v>249</v>
      </c>
      <c r="F51" t="s">
        <v>187</v>
      </c>
      <c r="G51" t="s">
        <v>188</v>
      </c>
      <c r="H51" t="s">
        <v>19</v>
      </c>
      <c r="I51" t="s">
        <v>20</v>
      </c>
      <c r="J51" t="s">
        <v>189</v>
      </c>
      <c r="K51" t="s">
        <v>22</v>
      </c>
      <c r="L51" t="s">
        <v>23</v>
      </c>
    </row>
    <row r="52" spans="1:12">
      <c r="A52" t="s">
        <v>250</v>
      </c>
      <c r="B52" t="s">
        <v>251</v>
      </c>
      <c r="C52" t="s">
        <v>252</v>
      </c>
      <c r="D52" t="s">
        <v>253</v>
      </c>
      <c r="E52" t="s">
        <v>252</v>
      </c>
      <c r="F52" t="s">
        <v>254</v>
      </c>
      <c r="G52" t="s">
        <v>255</v>
      </c>
      <c r="H52" t="s">
        <v>19</v>
      </c>
      <c r="I52" t="s">
        <v>20</v>
      </c>
      <c r="J52" t="s">
        <v>256</v>
      </c>
      <c r="K52" t="s">
        <v>22</v>
      </c>
      <c r="L52" t="s">
        <v>23</v>
      </c>
    </row>
    <row r="53" spans="1:12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262</v>
      </c>
      <c r="G53" t="s">
        <v>255</v>
      </c>
      <c r="H53" t="s">
        <v>19</v>
      </c>
      <c r="I53" t="s">
        <v>20</v>
      </c>
      <c r="J53" t="s">
        <v>256</v>
      </c>
      <c r="K53" t="s">
        <v>22</v>
      </c>
      <c r="L53" t="s">
        <v>23</v>
      </c>
    </row>
    <row r="54" spans="1:12">
      <c r="A54" t="s">
        <v>263</v>
      </c>
      <c r="B54" t="s">
        <v>264</v>
      </c>
      <c r="C54" t="s">
        <v>265</v>
      </c>
      <c r="D54" t="s">
        <v>266</v>
      </c>
      <c r="E54" t="s">
        <v>267</v>
      </c>
      <c r="F54" t="s">
        <v>262</v>
      </c>
      <c r="G54" t="s">
        <v>255</v>
      </c>
      <c r="H54" t="s">
        <v>19</v>
      </c>
      <c r="I54" t="s">
        <v>20</v>
      </c>
      <c r="J54" t="s">
        <v>256</v>
      </c>
      <c r="K54" t="s">
        <v>22</v>
      </c>
      <c r="L54" t="s">
        <v>23</v>
      </c>
    </row>
    <row r="55" spans="1:12">
      <c r="A55" t="s">
        <v>268</v>
      </c>
      <c r="B55" t="s">
        <v>269</v>
      </c>
      <c r="C55" t="s">
        <v>270</v>
      </c>
      <c r="D55" t="s">
        <v>271</v>
      </c>
      <c r="E55" t="s">
        <v>270</v>
      </c>
      <c r="F55" t="s">
        <v>262</v>
      </c>
      <c r="G55" t="s">
        <v>255</v>
      </c>
      <c r="H55" t="s">
        <v>19</v>
      </c>
      <c r="I55" t="s">
        <v>20</v>
      </c>
      <c r="J55" t="s">
        <v>256</v>
      </c>
      <c r="K55" t="s">
        <v>22</v>
      </c>
      <c r="L55" t="s">
        <v>23</v>
      </c>
    </row>
    <row r="56" spans="1:12">
      <c r="A56" t="s">
        <v>272</v>
      </c>
      <c r="B56" t="s">
        <v>273</v>
      </c>
      <c r="C56" t="s">
        <v>274</v>
      </c>
      <c r="D56" t="s">
        <v>275</v>
      </c>
      <c r="E56" t="s">
        <v>276</v>
      </c>
      <c r="F56" t="s">
        <v>254</v>
      </c>
      <c r="G56" t="s">
        <v>255</v>
      </c>
      <c r="H56" t="s">
        <v>19</v>
      </c>
      <c r="I56" t="s">
        <v>20</v>
      </c>
      <c r="J56" t="s">
        <v>256</v>
      </c>
      <c r="K56" t="s">
        <v>22</v>
      </c>
      <c r="L56" t="s">
        <v>23</v>
      </c>
    </row>
    <row r="57" spans="1:12">
      <c r="A57" t="s">
        <v>277</v>
      </c>
      <c r="B57" t="s">
        <v>278</v>
      </c>
      <c r="C57" t="s">
        <v>279</v>
      </c>
      <c r="D57" t="s">
        <v>280</v>
      </c>
      <c r="E57" t="s">
        <v>279</v>
      </c>
      <c r="F57" t="s">
        <v>262</v>
      </c>
      <c r="G57" t="s">
        <v>255</v>
      </c>
      <c r="H57" t="s">
        <v>19</v>
      </c>
      <c r="I57" t="s">
        <v>20</v>
      </c>
      <c r="J57" t="s">
        <v>256</v>
      </c>
      <c r="K57" t="s">
        <v>22</v>
      </c>
      <c r="L57" t="s">
        <v>23</v>
      </c>
    </row>
    <row r="58" spans="1:12">
      <c r="A58" t="s">
        <v>281</v>
      </c>
      <c r="B58" t="s">
        <v>282</v>
      </c>
      <c r="C58" t="s">
        <v>283</v>
      </c>
      <c r="D58" t="s">
        <v>284</v>
      </c>
      <c r="E58" t="s">
        <v>283</v>
      </c>
      <c r="F58" t="s">
        <v>254</v>
      </c>
      <c r="G58" t="s">
        <v>255</v>
      </c>
      <c r="H58" t="s">
        <v>19</v>
      </c>
      <c r="I58" t="s">
        <v>20</v>
      </c>
      <c r="J58" t="s">
        <v>256</v>
      </c>
      <c r="K58" t="s">
        <v>22</v>
      </c>
      <c r="L58" t="s">
        <v>23</v>
      </c>
    </row>
    <row r="59" spans="1:12">
      <c r="A59" t="s">
        <v>285</v>
      </c>
      <c r="B59" t="s">
        <v>286</v>
      </c>
      <c r="C59" t="s">
        <v>287</v>
      </c>
      <c r="D59" t="s">
        <v>288</v>
      </c>
      <c r="E59" t="s">
        <v>287</v>
      </c>
      <c r="F59" t="s">
        <v>254</v>
      </c>
      <c r="G59" t="s">
        <v>255</v>
      </c>
      <c r="H59" t="s">
        <v>19</v>
      </c>
      <c r="I59" t="s">
        <v>20</v>
      </c>
      <c r="J59" t="s">
        <v>256</v>
      </c>
      <c r="K59" t="s">
        <v>22</v>
      </c>
      <c r="L59" t="s">
        <v>23</v>
      </c>
    </row>
    <row r="60" spans="1:12">
      <c r="A60" t="s">
        <v>289</v>
      </c>
      <c r="B60" t="s">
        <v>290</v>
      </c>
      <c r="C60" t="s">
        <v>291</v>
      </c>
      <c r="D60" t="s">
        <v>292</v>
      </c>
      <c r="E60" t="s">
        <v>293</v>
      </c>
      <c r="F60" t="s">
        <v>294</v>
      </c>
      <c r="G60" t="s">
        <v>255</v>
      </c>
      <c r="H60" t="s">
        <v>19</v>
      </c>
      <c r="I60" t="s">
        <v>20</v>
      </c>
      <c r="J60" t="s">
        <v>256</v>
      </c>
      <c r="K60" t="s">
        <v>22</v>
      </c>
      <c r="L60" t="s">
        <v>23</v>
      </c>
    </row>
    <row r="61" spans="1:12">
      <c r="A61" t="s">
        <v>295</v>
      </c>
      <c r="B61" t="s">
        <v>296</v>
      </c>
      <c r="C61" t="s">
        <v>297</v>
      </c>
      <c r="D61" t="s">
        <v>298</v>
      </c>
      <c r="E61" t="s">
        <v>293</v>
      </c>
      <c r="F61" t="s">
        <v>294</v>
      </c>
      <c r="G61" t="s">
        <v>255</v>
      </c>
      <c r="H61" t="s">
        <v>19</v>
      </c>
      <c r="I61" t="s">
        <v>20</v>
      </c>
      <c r="J61" t="s">
        <v>256</v>
      </c>
      <c r="K61" t="s">
        <v>22</v>
      </c>
      <c r="L61" t="s">
        <v>23</v>
      </c>
    </row>
    <row r="62" spans="1:12">
      <c r="A62" t="s">
        <v>299</v>
      </c>
      <c r="B62" t="s">
        <v>300</v>
      </c>
      <c r="C62" t="s">
        <v>301</v>
      </c>
      <c r="D62" t="s">
        <v>302</v>
      </c>
      <c r="E62" t="s">
        <v>293</v>
      </c>
      <c r="F62" t="s">
        <v>294</v>
      </c>
      <c r="G62" t="s">
        <v>255</v>
      </c>
      <c r="H62" t="s">
        <v>19</v>
      </c>
      <c r="I62" t="s">
        <v>20</v>
      </c>
      <c r="J62" t="s">
        <v>256</v>
      </c>
      <c r="K62" t="s">
        <v>22</v>
      </c>
      <c r="L62" t="s">
        <v>23</v>
      </c>
    </row>
    <row r="63" spans="1:12">
      <c r="A63" t="s">
        <v>303</v>
      </c>
      <c r="B63" t="s">
        <v>304</v>
      </c>
      <c r="C63" t="s">
        <v>305</v>
      </c>
      <c r="D63" t="s">
        <v>306</v>
      </c>
      <c r="E63" t="s">
        <v>307</v>
      </c>
      <c r="F63" t="s">
        <v>294</v>
      </c>
      <c r="G63" t="s">
        <v>255</v>
      </c>
      <c r="H63" t="s">
        <v>19</v>
      </c>
      <c r="I63" t="s">
        <v>20</v>
      </c>
      <c r="J63" t="s">
        <v>256</v>
      </c>
      <c r="K63" t="s">
        <v>22</v>
      </c>
      <c r="L63" t="s">
        <v>23</v>
      </c>
    </row>
    <row r="64" spans="1:12">
      <c r="A64" t="s">
        <v>308</v>
      </c>
      <c r="B64" t="s">
        <v>309</v>
      </c>
      <c r="C64" t="s">
        <v>310</v>
      </c>
      <c r="D64" t="s">
        <v>311</v>
      </c>
      <c r="E64" t="s">
        <v>310</v>
      </c>
      <c r="F64" t="s">
        <v>294</v>
      </c>
      <c r="G64" t="s">
        <v>255</v>
      </c>
      <c r="H64" t="s">
        <v>19</v>
      </c>
      <c r="I64" t="s">
        <v>20</v>
      </c>
      <c r="J64" t="s">
        <v>256</v>
      </c>
      <c r="K64" t="s">
        <v>22</v>
      </c>
      <c r="L64" t="s">
        <v>23</v>
      </c>
    </row>
    <row r="65" spans="1:12">
      <c r="A65" t="s">
        <v>312</v>
      </c>
      <c r="B65" t="s">
        <v>313</v>
      </c>
      <c r="C65" t="s">
        <v>314</v>
      </c>
      <c r="D65" t="s">
        <v>315</v>
      </c>
      <c r="E65" t="s">
        <v>316</v>
      </c>
      <c r="F65" t="s">
        <v>17</v>
      </c>
      <c r="G65" t="s">
        <v>317</v>
      </c>
      <c r="H65" t="s">
        <v>19</v>
      </c>
      <c r="I65" t="s">
        <v>20</v>
      </c>
      <c r="J65" t="s">
        <v>318</v>
      </c>
      <c r="K65" t="s">
        <v>22</v>
      </c>
      <c r="L65" t="s">
        <v>23</v>
      </c>
    </row>
    <row r="66" spans="1:12">
      <c r="A66" t="s">
        <v>319</v>
      </c>
      <c r="B66" t="s">
        <v>320</v>
      </c>
      <c r="C66" t="s">
        <v>321</v>
      </c>
      <c r="D66" t="s">
        <v>322</v>
      </c>
      <c r="E66" t="s">
        <v>323</v>
      </c>
      <c r="F66" t="s">
        <v>17</v>
      </c>
      <c r="G66" t="s">
        <v>317</v>
      </c>
      <c r="H66" t="s">
        <v>19</v>
      </c>
      <c r="I66" t="s">
        <v>20</v>
      </c>
      <c r="J66" t="s">
        <v>318</v>
      </c>
      <c r="K66" t="s">
        <v>22</v>
      </c>
      <c r="L66" t="s">
        <v>23</v>
      </c>
    </row>
    <row r="67" spans="1:12">
      <c r="A67" t="s">
        <v>324</v>
      </c>
      <c r="B67" t="s">
        <v>325</v>
      </c>
      <c r="C67" t="s">
        <v>326</v>
      </c>
      <c r="D67" t="s">
        <v>327</v>
      </c>
      <c r="E67" t="s">
        <v>316</v>
      </c>
      <c r="F67" t="s">
        <v>17</v>
      </c>
      <c r="G67" t="s">
        <v>317</v>
      </c>
      <c r="H67" t="s">
        <v>19</v>
      </c>
      <c r="I67" t="s">
        <v>20</v>
      </c>
      <c r="J67" t="s">
        <v>318</v>
      </c>
      <c r="K67" t="s">
        <v>22</v>
      </c>
      <c r="L67" t="s">
        <v>23</v>
      </c>
    </row>
    <row r="68" spans="1:12">
      <c r="A68" t="s">
        <v>328</v>
      </c>
      <c r="B68" t="s">
        <v>329</v>
      </c>
      <c r="C68" t="s">
        <v>330</v>
      </c>
      <c r="D68" t="s">
        <v>331</v>
      </c>
      <c r="E68" t="s">
        <v>316</v>
      </c>
      <c r="F68" t="s">
        <v>17</v>
      </c>
      <c r="G68" t="s">
        <v>317</v>
      </c>
      <c r="H68" t="s">
        <v>19</v>
      </c>
      <c r="I68" t="s">
        <v>20</v>
      </c>
      <c r="J68" t="s">
        <v>318</v>
      </c>
      <c r="K68" t="s">
        <v>22</v>
      </c>
      <c r="L68" t="s">
        <v>23</v>
      </c>
    </row>
    <row r="69" spans="1:12">
      <c r="A69" t="s">
        <v>332</v>
      </c>
      <c r="B69" t="s">
        <v>333</v>
      </c>
      <c r="C69" t="s">
        <v>334</v>
      </c>
      <c r="D69" t="s">
        <v>335</v>
      </c>
      <c r="E69" t="s">
        <v>316</v>
      </c>
      <c r="F69" t="s">
        <v>17</v>
      </c>
      <c r="G69" t="s">
        <v>317</v>
      </c>
      <c r="H69" t="s">
        <v>19</v>
      </c>
      <c r="I69" t="s">
        <v>20</v>
      </c>
      <c r="J69" t="s">
        <v>318</v>
      </c>
      <c r="K69" t="s">
        <v>22</v>
      </c>
      <c r="L69" t="s">
        <v>23</v>
      </c>
    </row>
    <row r="70" spans="1:12">
      <c r="A70" t="s">
        <v>336</v>
      </c>
      <c r="B70" t="s">
        <v>337</v>
      </c>
      <c r="C70" t="s">
        <v>338</v>
      </c>
      <c r="D70" t="s">
        <v>339</v>
      </c>
      <c r="E70" t="s">
        <v>316</v>
      </c>
      <c r="F70" t="s">
        <v>17</v>
      </c>
      <c r="G70" t="s">
        <v>317</v>
      </c>
      <c r="H70" t="s">
        <v>19</v>
      </c>
      <c r="I70" t="s">
        <v>20</v>
      </c>
      <c r="J70" t="s">
        <v>318</v>
      </c>
      <c r="K70" t="s">
        <v>22</v>
      </c>
      <c r="L70" t="s">
        <v>23</v>
      </c>
    </row>
    <row r="71" spans="1:12">
      <c r="A71" t="s">
        <v>340</v>
      </c>
      <c r="B71" t="s">
        <v>341</v>
      </c>
      <c r="C71" t="s">
        <v>342</v>
      </c>
      <c r="D71" t="s">
        <v>343</v>
      </c>
      <c r="E71" t="s">
        <v>342</v>
      </c>
      <c r="F71" t="s">
        <v>17</v>
      </c>
      <c r="G71" t="s">
        <v>317</v>
      </c>
      <c r="H71" t="s">
        <v>19</v>
      </c>
      <c r="I71" t="s">
        <v>20</v>
      </c>
      <c r="J71" t="s">
        <v>318</v>
      </c>
      <c r="K71" t="s">
        <v>22</v>
      </c>
      <c r="L71" t="s">
        <v>23</v>
      </c>
    </row>
    <row r="72" spans="1:12">
      <c r="A72" t="s">
        <v>344</v>
      </c>
      <c r="B72" t="s">
        <v>345</v>
      </c>
      <c r="C72" t="s">
        <v>346</v>
      </c>
      <c r="D72" t="s">
        <v>347</v>
      </c>
      <c r="E72" t="s">
        <v>316</v>
      </c>
      <c r="F72" t="s">
        <v>17</v>
      </c>
      <c r="G72" t="s">
        <v>317</v>
      </c>
      <c r="H72" t="s">
        <v>19</v>
      </c>
      <c r="I72" t="s">
        <v>20</v>
      </c>
      <c r="J72" t="s">
        <v>318</v>
      </c>
      <c r="K72" t="s">
        <v>22</v>
      </c>
      <c r="L72" t="s">
        <v>23</v>
      </c>
    </row>
    <row r="73" spans="1:12">
      <c r="A73" t="s">
        <v>348</v>
      </c>
      <c r="B73" t="s">
        <v>349</v>
      </c>
      <c r="C73" t="s">
        <v>350</v>
      </c>
      <c r="D73" t="s">
        <v>351</v>
      </c>
      <c r="E73" t="s">
        <v>342</v>
      </c>
      <c r="F73" t="s">
        <v>17</v>
      </c>
      <c r="G73" t="s">
        <v>317</v>
      </c>
      <c r="H73" t="s">
        <v>19</v>
      </c>
      <c r="I73" t="s">
        <v>20</v>
      </c>
      <c r="J73" t="s">
        <v>318</v>
      </c>
      <c r="K73" t="s">
        <v>22</v>
      </c>
      <c r="L73" t="s">
        <v>23</v>
      </c>
    </row>
    <row r="74" spans="1:12">
      <c r="A74" t="s">
        <v>352</v>
      </c>
      <c r="B74" t="s">
        <v>353</v>
      </c>
      <c r="C74" t="s">
        <v>354</v>
      </c>
      <c r="D74" t="s">
        <v>355</v>
      </c>
      <c r="E74" t="s">
        <v>354</v>
      </c>
      <c r="F74" t="s">
        <v>17</v>
      </c>
      <c r="G74" t="s">
        <v>317</v>
      </c>
      <c r="H74" t="s">
        <v>19</v>
      </c>
      <c r="I74" t="s">
        <v>20</v>
      </c>
      <c r="J74" t="s">
        <v>318</v>
      </c>
      <c r="K74" t="s">
        <v>22</v>
      </c>
      <c r="L74" t="s">
        <v>23</v>
      </c>
    </row>
    <row r="75" spans="1:12">
      <c r="A75" t="s">
        <v>356</v>
      </c>
      <c r="B75" t="s">
        <v>357</v>
      </c>
      <c r="C75" t="s">
        <v>358</v>
      </c>
      <c r="D75" t="s">
        <v>359</v>
      </c>
      <c r="E75" t="s">
        <v>358</v>
      </c>
      <c r="F75" t="s">
        <v>17</v>
      </c>
      <c r="G75" t="s">
        <v>360</v>
      </c>
      <c r="H75" t="s">
        <v>19</v>
      </c>
      <c r="I75" t="s">
        <v>20</v>
      </c>
      <c r="J75" t="s">
        <v>361</v>
      </c>
      <c r="K75" t="s">
        <v>22</v>
      </c>
      <c r="L75" t="s">
        <v>23</v>
      </c>
    </row>
    <row r="76" spans="1:12">
      <c r="A76" t="s">
        <v>362</v>
      </c>
      <c r="B76" t="s">
        <v>363</v>
      </c>
      <c r="C76" t="s">
        <v>364</v>
      </c>
      <c r="D76" t="s">
        <v>365</v>
      </c>
      <c r="E76" t="s">
        <v>366</v>
      </c>
      <c r="F76" t="s">
        <v>17</v>
      </c>
      <c r="G76" t="s">
        <v>360</v>
      </c>
      <c r="H76" t="s">
        <v>19</v>
      </c>
      <c r="I76" t="s">
        <v>20</v>
      </c>
      <c r="J76" t="s">
        <v>361</v>
      </c>
      <c r="K76" t="s">
        <v>22</v>
      </c>
      <c r="L76" t="s">
        <v>23</v>
      </c>
    </row>
    <row r="77" spans="1:12">
      <c r="A77" t="s">
        <v>367</v>
      </c>
      <c r="B77" t="s">
        <v>368</v>
      </c>
      <c r="C77" t="s">
        <v>369</v>
      </c>
      <c r="D77" t="s">
        <v>370</v>
      </c>
      <c r="E77" t="s">
        <v>369</v>
      </c>
      <c r="F77" t="s">
        <v>17</v>
      </c>
      <c r="G77" t="s">
        <v>360</v>
      </c>
      <c r="H77" t="s">
        <v>19</v>
      </c>
      <c r="I77" t="s">
        <v>20</v>
      </c>
      <c r="J77" t="s">
        <v>361</v>
      </c>
      <c r="K77" t="s">
        <v>22</v>
      </c>
      <c r="L77" t="s">
        <v>23</v>
      </c>
    </row>
    <row r="78" spans="1:12">
      <c r="A78" t="s">
        <v>371</v>
      </c>
      <c r="B78" t="s">
        <v>372</v>
      </c>
      <c r="C78" t="s">
        <v>373</v>
      </c>
      <c r="D78" t="s">
        <v>374</v>
      </c>
      <c r="E78" t="s">
        <v>316</v>
      </c>
      <c r="F78" t="s">
        <v>17</v>
      </c>
      <c r="G78" t="s">
        <v>360</v>
      </c>
      <c r="H78" t="s">
        <v>19</v>
      </c>
      <c r="I78" t="s">
        <v>20</v>
      </c>
      <c r="J78" t="s">
        <v>361</v>
      </c>
      <c r="K78" t="s">
        <v>22</v>
      </c>
      <c r="L78" t="s">
        <v>23</v>
      </c>
    </row>
    <row r="79" spans="1:12">
      <c r="A79" t="s">
        <v>375</v>
      </c>
      <c r="B79" t="s">
        <v>376</v>
      </c>
      <c r="C79" t="s">
        <v>377</v>
      </c>
      <c r="D79" t="s">
        <v>378</v>
      </c>
      <c r="E79" t="s">
        <v>379</v>
      </c>
      <c r="F79" t="s">
        <v>17</v>
      </c>
      <c r="G79" t="s">
        <v>360</v>
      </c>
      <c r="H79" t="s">
        <v>19</v>
      </c>
      <c r="I79" t="s">
        <v>20</v>
      </c>
      <c r="J79" t="s">
        <v>361</v>
      </c>
      <c r="K79" t="s">
        <v>22</v>
      </c>
      <c r="L79" t="s">
        <v>23</v>
      </c>
    </row>
    <row r="80" spans="1:12">
      <c r="A80" t="s">
        <v>380</v>
      </c>
      <c r="B80" t="s">
        <v>381</v>
      </c>
      <c r="C80" t="s">
        <v>382</v>
      </c>
      <c r="D80" t="s">
        <v>383</v>
      </c>
      <c r="E80" t="s">
        <v>382</v>
      </c>
      <c r="F80" t="s">
        <v>17</v>
      </c>
      <c r="G80" t="s">
        <v>360</v>
      </c>
      <c r="H80" t="s">
        <v>19</v>
      </c>
      <c r="I80" t="s">
        <v>20</v>
      </c>
      <c r="J80" t="s">
        <v>361</v>
      </c>
      <c r="K80" t="s">
        <v>22</v>
      </c>
      <c r="L80" t="s">
        <v>23</v>
      </c>
    </row>
    <row r="81" spans="1:12">
      <c r="A81" t="s">
        <v>384</v>
      </c>
      <c r="B81" t="s">
        <v>385</v>
      </c>
      <c r="C81" t="s">
        <v>386</v>
      </c>
      <c r="D81" t="s">
        <v>387</v>
      </c>
      <c r="E81" t="s">
        <v>386</v>
      </c>
      <c r="F81" t="s">
        <v>17</v>
      </c>
      <c r="G81" t="s">
        <v>360</v>
      </c>
      <c r="H81" t="s">
        <v>19</v>
      </c>
      <c r="I81" t="s">
        <v>20</v>
      </c>
      <c r="J81" t="s">
        <v>361</v>
      </c>
      <c r="K81" t="s">
        <v>22</v>
      </c>
      <c r="L81" t="s">
        <v>23</v>
      </c>
    </row>
    <row r="82" spans="1:12">
      <c r="A82" t="s">
        <v>388</v>
      </c>
      <c r="B82" t="s">
        <v>389</v>
      </c>
      <c r="C82" t="s">
        <v>390</v>
      </c>
      <c r="D82" t="s">
        <v>391</v>
      </c>
      <c r="E82" t="s">
        <v>316</v>
      </c>
      <c r="F82" t="s">
        <v>17</v>
      </c>
      <c r="G82" t="s">
        <v>360</v>
      </c>
      <c r="H82" t="s">
        <v>19</v>
      </c>
      <c r="I82" t="s">
        <v>20</v>
      </c>
      <c r="J82" t="s">
        <v>361</v>
      </c>
      <c r="K82" t="s">
        <v>22</v>
      </c>
      <c r="L82" t="s">
        <v>23</v>
      </c>
    </row>
    <row r="83" spans="1:12">
      <c r="A83" t="s">
        <v>392</v>
      </c>
      <c r="B83" t="s">
        <v>393</v>
      </c>
      <c r="C83" t="s">
        <v>394</v>
      </c>
      <c r="D83" t="s">
        <v>395</v>
      </c>
      <c r="E83" t="s">
        <v>394</v>
      </c>
      <c r="F83" t="s">
        <v>17</v>
      </c>
      <c r="G83" t="s">
        <v>396</v>
      </c>
      <c r="H83" t="s">
        <v>19</v>
      </c>
      <c r="I83" t="s">
        <v>20</v>
      </c>
      <c r="J83" t="s">
        <v>397</v>
      </c>
      <c r="K83" t="s">
        <v>22</v>
      </c>
      <c r="L83" t="s">
        <v>23</v>
      </c>
    </row>
    <row r="84" spans="1:12">
      <c r="A84" t="s">
        <v>398</v>
      </c>
      <c r="B84" t="s">
        <v>399</v>
      </c>
      <c r="C84" t="s">
        <v>400</v>
      </c>
      <c r="D84" t="s">
        <v>401</v>
      </c>
      <c r="E84" t="s">
        <v>400</v>
      </c>
      <c r="F84" t="s">
        <v>17</v>
      </c>
      <c r="G84" t="s">
        <v>396</v>
      </c>
      <c r="H84" t="s">
        <v>19</v>
      </c>
      <c r="I84" t="s">
        <v>20</v>
      </c>
      <c r="J84" t="s">
        <v>397</v>
      </c>
      <c r="K84" t="s">
        <v>22</v>
      </c>
      <c r="L84" t="s">
        <v>23</v>
      </c>
    </row>
    <row r="85" spans="1:12">
      <c r="A85" t="s">
        <v>402</v>
      </c>
      <c r="B85" t="s">
        <v>403</v>
      </c>
      <c r="C85" t="s">
        <v>404</v>
      </c>
      <c r="D85" t="s">
        <v>405</v>
      </c>
      <c r="E85" t="s">
        <v>406</v>
      </c>
      <c r="F85" t="s">
        <v>17</v>
      </c>
      <c r="G85" t="s">
        <v>396</v>
      </c>
      <c r="H85" t="s">
        <v>19</v>
      </c>
      <c r="I85" t="s">
        <v>20</v>
      </c>
      <c r="J85" t="s">
        <v>397</v>
      </c>
      <c r="K85" t="s">
        <v>22</v>
      </c>
      <c r="L85" t="s">
        <v>23</v>
      </c>
    </row>
    <row r="86" spans="1:12">
      <c r="A86" t="s">
        <v>407</v>
      </c>
      <c r="B86" t="s">
        <v>408</v>
      </c>
      <c r="C86" t="s">
        <v>409</v>
      </c>
      <c r="D86" t="s">
        <v>410</v>
      </c>
      <c r="E86" t="s">
        <v>409</v>
      </c>
      <c r="F86" t="s">
        <v>17</v>
      </c>
      <c r="G86" t="s">
        <v>396</v>
      </c>
      <c r="H86" t="s">
        <v>19</v>
      </c>
      <c r="I86" t="s">
        <v>20</v>
      </c>
      <c r="J86" t="s">
        <v>397</v>
      </c>
      <c r="K86" t="s">
        <v>22</v>
      </c>
      <c r="L86" t="s">
        <v>23</v>
      </c>
    </row>
    <row r="87" spans="1:12">
      <c r="A87" t="s">
        <v>411</v>
      </c>
      <c r="B87" t="s">
        <v>412</v>
      </c>
      <c r="C87" t="s">
        <v>413</v>
      </c>
      <c r="D87" t="s">
        <v>414</v>
      </c>
      <c r="E87" t="s">
        <v>413</v>
      </c>
      <c r="F87" t="s">
        <v>17</v>
      </c>
      <c r="G87" t="s">
        <v>396</v>
      </c>
      <c r="H87" t="s">
        <v>19</v>
      </c>
      <c r="I87" t="s">
        <v>20</v>
      </c>
      <c r="J87" t="s">
        <v>397</v>
      </c>
      <c r="K87" t="s">
        <v>22</v>
      </c>
      <c r="L87" t="s">
        <v>23</v>
      </c>
    </row>
    <row r="88" spans="1:12">
      <c r="A88" t="s">
        <v>415</v>
      </c>
      <c r="B88" t="s">
        <v>416</v>
      </c>
      <c r="C88" t="s">
        <v>417</v>
      </c>
      <c r="D88" t="s">
        <v>418</v>
      </c>
      <c r="E88" t="s">
        <v>419</v>
      </c>
      <c r="F88" t="s">
        <v>17</v>
      </c>
      <c r="G88" t="s">
        <v>396</v>
      </c>
      <c r="H88" t="s">
        <v>19</v>
      </c>
      <c r="I88" t="s">
        <v>20</v>
      </c>
      <c r="J88" t="s">
        <v>397</v>
      </c>
      <c r="K88" t="s">
        <v>22</v>
      </c>
      <c r="L88" t="s">
        <v>23</v>
      </c>
    </row>
    <row r="89" spans="1:12">
      <c r="A89" t="s">
        <v>420</v>
      </c>
      <c r="B89" t="s">
        <v>421</v>
      </c>
      <c r="C89" t="s">
        <v>422</v>
      </c>
      <c r="D89" t="s">
        <v>423</v>
      </c>
      <c r="E89" t="s">
        <v>424</v>
      </c>
      <c r="F89" t="s">
        <v>17</v>
      </c>
      <c r="G89" t="s">
        <v>396</v>
      </c>
      <c r="H89" t="s">
        <v>19</v>
      </c>
      <c r="I89" t="s">
        <v>20</v>
      </c>
      <c r="J89" t="s">
        <v>397</v>
      </c>
      <c r="K89" t="s">
        <v>22</v>
      </c>
      <c r="L89" t="s">
        <v>23</v>
      </c>
    </row>
    <row r="90" spans="1:12">
      <c r="A90" t="s">
        <v>425</v>
      </c>
      <c r="B90" t="s">
        <v>426</v>
      </c>
      <c r="C90" t="s">
        <v>427</v>
      </c>
      <c r="D90" t="s">
        <v>428</v>
      </c>
      <c r="E90" t="s">
        <v>427</v>
      </c>
      <c r="F90" t="s">
        <v>17</v>
      </c>
      <c r="G90" t="s">
        <v>396</v>
      </c>
      <c r="H90" t="s">
        <v>19</v>
      </c>
      <c r="I90" t="s">
        <v>20</v>
      </c>
      <c r="J90" t="s">
        <v>397</v>
      </c>
      <c r="K90" t="s">
        <v>22</v>
      </c>
      <c r="L90" t="s">
        <v>23</v>
      </c>
    </row>
    <row r="91" spans="1:12">
      <c r="A91" t="s">
        <v>429</v>
      </c>
      <c r="B91" t="s">
        <v>430</v>
      </c>
      <c r="C91" t="s">
        <v>431</v>
      </c>
      <c r="D91" t="s">
        <v>432</v>
      </c>
      <c r="E91" t="s">
        <v>431</v>
      </c>
      <c r="F91" t="s">
        <v>17</v>
      </c>
      <c r="G91" t="s">
        <v>396</v>
      </c>
      <c r="H91" t="s">
        <v>19</v>
      </c>
      <c r="I91" t="s">
        <v>20</v>
      </c>
      <c r="J91" t="s">
        <v>397</v>
      </c>
      <c r="K91" t="s">
        <v>22</v>
      </c>
      <c r="L91" t="s">
        <v>23</v>
      </c>
    </row>
    <row r="92" spans="1:12">
      <c r="A92" t="s">
        <v>433</v>
      </c>
      <c r="B92" t="s">
        <v>434</v>
      </c>
      <c r="C92" t="s">
        <v>435</v>
      </c>
      <c r="D92" t="s">
        <v>436</v>
      </c>
      <c r="E92" t="s">
        <v>435</v>
      </c>
      <c r="F92" t="s">
        <v>437</v>
      </c>
      <c r="G92" t="s">
        <v>438</v>
      </c>
      <c r="H92" t="s">
        <v>19</v>
      </c>
      <c r="I92" t="s">
        <v>20</v>
      </c>
      <c r="J92" t="s">
        <v>439</v>
      </c>
      <c r="K92" t="s">
        <v>22</v>
      </c>
      <c r="L92" t="s">
        <v>23</v>
      </c>
    </row>
    <row r="93" spans="1:12">
      <c r="A93" t="s">
        <v>440</v>
      </c>
      <c r="B93" t="s">
        <v>441</v>
      </c>
      <c r="C93" t="s">
        <v>442</v>
      </c>
      <c r="D93" t="s">
        <v>443</v>
      </c>
      <c r="E93" t="s">
        <v>442</v>
      </c>
      <c r="F93" t="s">
        <v>17</v>
      </c>
      <c r="G93" t="s">
        <v>438</v>
      </c>
      <c r="H93" t="s">
        <v>19</v>
      </c>
      <c r="I93" t="s">
        <v>20</v>
      </c>
      <c r="J93" t="s">
        <v>439</v>
      </c>
      <c r="K93" t="s">
        <v>22</v>
      </c>
      <c r="L93" t="s">
        <v>23</v>
      </c>
    </row>
    <row r="94" spans="1:12">
      <c r="A94" t="s">
        <v>444</v>
      </c>
      <c r="B94" t="s">
        <v>445</v>
      </c>
      <c r="C94" t="s">
        <v>446</v>
      </c>
      <c r="D94" t="s">
        <v>447</v>
      </c>
      <c r="E94" t="s">
        <v>448</v>
      </c>
      <c r="F94" t="s">
        <v>17</v>
      </c>
      <c r="G94" t="s">
        <v>438</v>
      </c>
      <c r="H94" t="s">
        <v>19</v>
      </c>
      <c r="I94" t="s">
        <v>20</v>
      </c>
      <c r="J94" t="s">
        <v>439</v>
      </c>
      <c r="K94" t="s">
        <v>22</v>
      </c>
      <c r="L94" t="s">
        <v>23</v>
      </c>
    </row>
    <row r="95" spans="1:12">
      <c r="A95" t="s">
        <v>449</v>
      </c>
      <c r="B95" t="s">
        <v>450</v>
      </c>
      <c r="C95" t="s">
        <v>451</v>
      </c>
      <c r="D95" t="s">
        <v>452</v>
      </c>
      <c r="E95" t="s">
        <v>451</v>
      </c>
      <c r="F95" t="s">
        <v>17</v>
      </c>
      <c r="G95" t="s">
        <v>438</v>
      </c>
      <c r="H95" t="s">
        <v>19</v>
      </c>
      <c r="I95" t="s">
        <v>20</v>
      </c>
      <c r="J95" t="s">
        <v>439</v>
      </c>
      <c r="K95" t="s">
        <v>22</v>
      </c>
      <c r="L95" t="s">
        <v>23</v>
      </c>
    </row>
    <row r="96" spans="1:12">
      <c r="A96" t="s">
        <v>453</v>
      </c>
      <c r="B96" t="s">
        <v>454</v>
      </c>
      <c r="C96" t="s">
        <v>455</v>
      </c>
      <c r="D96" t="s">
        <v>456</v>
      </c>
      <c r="E96" t="s">
        <v>442</v>
      </c>
      <c r="F96" t="s">
        <v>17</v>
      </c>
      <c r="G96" t="s">
        <v>438</v>
      </c>
      <c r="H96" t="s">
        <v>19</v>
      </c>
      <c r="I96" t="s">
        <v>20</v>
      </c>
      <c r="J96" t="s">
        <v>439</v>
      </c>
      <c r="K96" t="s">
        <v>22</v>
      </c>
      <c r="L96" t="s">
        <v>23</v>
      </c>
    </row>
    <row r="97" spans="1:12">
      <c r="A97" t="s">
        <v>457</v>
      </c>
      <c r="B97" t="s">
        <v>458</v>
      </c>
      <c r="C97" t="s">
        <v>459</v>
      </c>
      <c r="D97" t="s">
        <v>460</v>
      </c>
      <c r="E97" t="s">
        <v>461</v>
      </c>
      <c r="F97" t="s">
        <v>17</v>
      </c>
      <c r="G97" t="s">
        <v>438</v>
      </c>
      <c r="H97" t="s">
        <v>19</v>
      </c>
      <c r="I97" t="s">
        <v>20</v>
      </c>
      <c r="J97" t="s">
        <v>439</v>
      </c>
      <c r="K97" t="s">
        <v>22</v>
      </c>
      <c r="L97" t="s">
        <v>23</v>
      </c>
    </row>
    <row r="98" spans="1:12">
      <c r="A98" t="s">
        <v>462</v>
      </c>
      <c r="B98" t="s">
        <v>463</v>
      </c>
      <c r="C98" t="s">
        <v>464</v>
      </c>
      <c r="D98" t="s">
        <v>465</v>
      </c>
      <c r="E98" t="s">
        <v>464</v>
      </c>
      <c r="F98" t="s">
        <v>17</v>
      </c>
      <c r="G98" t="s">
        <v>438</v>
      </c>
      <c r="H98" t="s">
        <v>19</v>
      </c>
      <c r="I98" t="s">
        <v>20</v>
      </c>
      <c r="J98" t="s">
        <v>439</v>
      </c>
      <c r="K98" t="s">
        <v>22</v>
      </c>
      <c r="L98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C9ED-5500-2C45-8EF7-39DB9E65C840}">
  <dimension ref="A1:C38"/>
  <sheetViews>
    <sheetView tabSelected="1" workbookViewId="0">
      <selection sqref="A1:C38"/>
    </sheetView>
  </sheetViews>
  <sheetFormatPr baseColWidth="10" defaultRowHeight="16"/>
  <sheetData>
    <row r="1" spans="1:3" ht="17">
      <c r="A1" s="12" t="s">
        <v>615</v>
      </c>
      <c r="B1" s="13">
        <v>46238</v>
      </c>
    </row>
    <row r="3" spans="1:3" ht="17" thickBot="1"/>
    <row r="4" spans="1:3" ht="17">
      <c r="A4" s="12" t="s">
        <v>616</v>
      </c>
      <c r="B4" s="12" t="s">
        <v>617</v>
      </c>
    </row>
    <row r="5" spans="1:3" ht="34">
      <c r="A5" s="14" t="s">
        <v>618</v>
      </c>
      <c r="B5" s="15">
        <v>0.15</v>
      </c>
    </row>
    <row r="6" spans="1:3" ht="17">
      <c r="A6" s="14" t="s">
        <v>619</v>
      </c>
      <c r="B6" s="16">
        <v>0.15</v>
      </c>
    </row>
    <row r="7" spans="1:3" ht="17">
      <c r="A7" s="14" t="s">
        <v>620</v>
      </c>
      <c r="B7" s="16">
        <v>0.15</v>
      </c>
    </row>
    <row r="8" spans="1:3" ht="17">
      <c r="A8" s="14" t="s">
        <v>621</v>
      </c>
      <c r="B8" s="16">
        <v>0.1</v>
      </c>
    </row>
    <row r="9" spans="1:3" ht="17">
      <c r="A9" s="14" t="s">
        <v>622</v>
      </c>
      <c r="B9" s="16">
        <v>0.1</v>
      </c>
    </row>
    <row r="10" spans="1:3" ht="17">
      <c r="A10" s="14" t="s">
        <v>623</v>
      </c>
      <c r="B10" s="16">
        <v>0.15</v>
      </c>
    </row>
    <row r="11" spans="1:3" ht="17">
      <c r="A11" s="14" t="s">
        <v>624</v>
      </c>
      <c r="B11" s="16">
        <v>0.1</v>
      </c>
    </row>
    <row r="12" spans="1:3" ht="34">
      <c r="A12" s="14" t="s">
        <v>625</v>
      </c>
      <c r="B12" s="16">
        <v>0.1</v>
      </c>
    </row>
    <row r="15" spans="1:3" ht="17" thickBot="1">
      <c r="A15" s="28" t="s">
        <v>629</v>
      </c>
      <c r="B15" s="28"/>
      <c r="C15" s="28"/>
    </row>
    <row r="16" spans="1:3" ht="34">
      <c r="A16" s="29" t="s">
        <v>468</v>
      </c>
      <c r="B16" s="29" t="s">
        <v>626</v>
      </c>
      <c r="C16" s="29" t="s">
        <v>627</v>
      </c>
    </row>
    <row r="17" spans="1:3">
      <c r="A17" s="30">
        <v>1</v>
      </c>
      <c r="B17" s="30">
        <v>1</v>
      </c>
      <c r="C17" s="30">
        <v>1</v>
      </c>
    </row>
    <row r="18" spans="1:3">
      <c r="A18" s="31">
        <v>2</v>
      </c>
      <c r="B18" s="31">
        <v>2</v>
      </c>
      <c r="C18" s="31">
        <v>3</v>
      </c>
    </row>
    <row r="19" spans="1:3">
      <c r="A19" s="33">
        <v>3</v>
      </c>
      <c r="B19" s="33">
        <v>3</v>
      </c>
      <c r="C19" s="33">
        <v>3</v>
      </c>
    </row>
    <row r="20" spans="1:3">
      <c r="A20" s="34">
        <v>4</v>
      </c>
      <c r="B20" s="34">
        <v>4</v>
      </c>
      <c r="C20" s="34">
        <v>4</v>
      </c>
    </row>
    <row r="23" spans="1:3" ht="17" thickBot="1">
      <c r="A23" s="28" t="s">
        <v>630</v>
      </c>
      <c r="B23" s="28"/>
      <c r="C23" s="28"/>
    </row>
    <row r="24" spans="1:3" ht="34">
      <c r="A24" s="29" t="s">
        <v>468</v>
      </c>
      <c r="B24" s="29" t="s">
        <v>626</v>
      </c>
      <c r="C24" s="29" t="s">
        <v>627</v>
      </c>
    </row>
    <row r="25" spans="1:3">
      <c r="A25" s="30">
        <v>1</v>
      </c>
      <c r="B25" s="30">
        <v>1</v>
      </c>
      <c r="C25" s="30">
        <v>7</v>
      </c>
    </row>
    <row r="26" spans="1:3">
      <c r="A26" s="31">
        <v>2</v>
      </c>
      <c r="B26" s="31">
        <v>8</v>
      </c>
      <c r="C26" s="31">
        <v>14</v>
      </c>
    </row>
    <row r="27" spans="1:3">
      <c r="A27" s="32">
        <v>3</v>
      </c>
      <c r="B27" s="32">
        <v>15</v>
      </c>
      <c r="C27" s="32">
        <v>22</v>
      </c>
    </row>
    <row r="28" spans="1:3">
      <c r="A28" s="33">
        <v>4</v>
      </c>
      <c r="B28" s="33">
        <v>23</v>
      </c>
      <c r="C28" s="33">
        <v>29</v>
      </c>
    </row>
    <row r="29" spans="1:3">
      <c r="A29" s="34">
        <v>5</v>
      </c>
      <c r="B29" s="34">
        <v>30</v>
      </c>
      <c r="C29" s="34">
        <v>37</v>
      </c>
    </row>
    <row r="32" spans="1:3" ht="17" thickBot="1">
      <c r="A32" s="28" t="s">
        <v>628</v>
      </c>
      <c r="B32" s="28"/>
      <c r="C32" s="28"/>
    </row>
    <row r="33" spans="1:3" ht="34">
      <c r="A33" s="17" t="s">
        <v>468</v>
      </c>
      <c r="B33" s="17" t="s">
        <v>626</v>
      </c>
      <c r="C33" s="17" t="s">
        <v>627</v>
      </c>
    </row>
    <row r="34" spans="1:3">
      <c r="A34" s="18">
        <v>1</v>
      </c>
      <c r="B34" s="19">
        <v>1</v>
      </c>
      <c r="C34" s="19">
        <v>72</v>
      </c>
    </row>
    <row r="35" spans="1:3">
      <c r="A35" s="20">
        <v>2</v>
      </c>
      <c r="B35" s="21">
        <v>73</v>
      </c>
      <c r="C35" s="21">
        <v>144</v>
      </c>
    </row>
    <row r="36" spans="1:3">
      <c r="A36" s="22">
        <v>3</v>
      </c>
      <c r="B36" s="23">
        <v>145</v>
      </c>
      <c r="C36" s="23">
        <v>216</v>
      </c>
    </row>
    <row r="37" spans="1:3">
      <c r="A37" s="24">
        <v>4</v>
      </c>
      <c r="B37" s="25">
        <v>217</v>
      </c>
      <c r="C37" s="25">
        <v>288</v>
      </c>
    </row>
    <row r="38" spans="1:3">
      <c r="A38" s="26">
        <v>5</v>
      </c>
      <c r="B38" s="27">
        <v>289</v>
      </c>
      <c r="C38" s="27">
        <v>360</v>
      </c>
    </row>
  </sheetData>
  <mergeCells count="3">
    <mergeCell ref="A15:C15"/>
    <mergeCell ref="A23:C23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</vt:lpstr>
      <vt:lpstr>District</vt:lpstr>
      <vt:lpstr>Store</vt:lpstr>
      <vt:lpstr>Location List</vt:lpstr>
      <vt:lpstr>Metric 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Starke</dc:creator>
  <cp:lastModifiedBy>Kevin Starke</cp:lastModifiedBy>
  <dcterms:created xsi:type="dcterms:W3CDTF">2026-08-12T05:24:52Z</dcterms:created>
  <dcterms:modified xsi:type="dcterms:W3CDTF">2026-08-12T06:19:54Z</dcterms:modified>
</cp:coreProperties>
</file>